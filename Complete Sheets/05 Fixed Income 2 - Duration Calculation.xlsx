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gmino/Dropbox/8. FACULTY/Teaching : Coursework/02 2025S CMI/COURSE Lecture Slides/05 Fixed Income 2 - Interest Rate Risk/"/>
    </mc:Choice>
  </mc:AlternateContent>
  <xr:revisionPtr revIDLastSave="0" documentId="13_ncr:1_{B4845AAE-BB79-2A43-9F89-0CC39C699261}" xr6:coauthVersionLast="47" xr6:coauthVersionMax="47" xr10:uidLastSave="{00000000-0000-0000-0000-000000000000}"/>
  <bookViews>
    <workbookView xWindow="0" yWindow="500" windowWidth="28800" windowHeight="16560" activeTab="2" xr2:uid="{6F743C9F-5ED6-4564-B2A2-74498D6F055B}"/>
  </bookViews>
  <sheets>
    <sheet name="Example 1. 2-year Treasury Note" sheetId="1" r:id="rId1"/>
    <sheet name="Example 2. 3-year Treasury Note" sheetId="3" r:id="rId2"/>
    <sheet name="Example 3. Zer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2" l="1"/>
  <c r="D9" i="2"/>
  <c r="G11" i="3"/>
  <c r="G12" i="3" s="1"/>
  <c r="H11" i="3"/>
  <c r="H12" i="3" s="1"/>
  <c r="I11" i="3"/>
  <c r="I12" i="3" s="1"/>
  <c r="F11" i="3"/>
  <c r="F12" i="3" s="1"/>
  <c r="E11" i="3"/>
  <c r="E12" i="3" s="1"/>
  <c r="D11" i="3"/>
  <c r="D12" i="3" s="1"/>
  <c r="J12" i="3" l="1"/>
  <c r="E13" i="3" s="1"/>
  <c r="C12" i="3"/>
  <c r="C10" i="2"/>
  <c r="D10" i="2"/>
  <c r="C11" i="2"/>
  <c r="D11" i="2"/>
  <c r="E11" i="2"/>
  <c r="F11" i="2" s="1"/>
  <c r="G11" i="2" s="1"/>
  <c r="C12" i="2"/>
  <c r="D12" i="2"/>
  <c r="C13" i="2"/>
  <c r="D13" i="2"/>
  <c r="G12" i="1"/>
  <c r="G13" i="1" s="1"/>
  <c r="E12" i="1"/>
  <c r="E13" i="1" s="1"/>
  <c r="F12" i="1"/>
  <c r="F13" i="1" s="1"/>
  <c r="D12" i="1"/>
  <c r="E12" i="2" l="1"/>
  <c r="F12" i="2" s="1"/>
  <c r="G12" i="2" s="1"/>
  <c r="E10" i="2"/>
  <c r="F10" i="2" s="1"/>
  <c r="G10" i="2" s="1"/>
  <c r="E13" i="2"/>
  <c r="E9" i="2"/>
  <c r="F9" i="2" s="1"/>
  <c r="G9" i="2" s="1"/>
  <c r="H13" i="3"/>
  <c r="D13" i="1"/>
  <c r="C13" i="1" s="1"/>
  <c r="I13" i="3"/>
  <c r="G13" i="3"/>
  <c r="F13" i="3"/>
  <c r="D13" i="3"/>
  <c r="C14" i="3" s="1"/>
  <c r="C15" i="3" s="1"/>
  <c r="C16" i="3" s="1"/>
  <c r="H13" i="1"/>
  <c r="E14" i="1" s="1"/>
  <c r="F13" i="2" l="1"/>
  <c r="G13" i="2" s="1"/>
  <c r="D14" i="1"/>
  <c r="G14" i="1"/>
  <c r="F14" i="1"/>
  <c r="C15" i="1" l="1"/>
  <c r="C16" i="1" s="1"/>
  <c r="C17" i="1" s="1"/>
</calcChain>
</file>

<file path=xl/sharedStrings.xml><?xml version="1.0" encoding="utf-8"?>
<sst xmlns="http://schemas.openxmlformats.org/spreadsheetml/2006/main" count="48" uniqueCount="30">
  <si>
    <t>Yield</t>
  </si>
  <si>
    <t>Period</t>
  </si>
  <si>
    <t>CF</t>
  </si>
  <si>
    <t>PV of CF</t>
  </si>
  <si>
    <t>Wt of CF</t>
  </si>
  <si>
    <t>(annualized but semiannually compounded)</t>
  </si>
  <si>
    <t>Coupon</t>
  </si>
  <si>
    <t>(annualized but paid semiannually)</t>
  </si>
  <si>
    <t>Par</t>
  </si>
  <si>
    <t>Total</t>
  </si>
  <si>
    <t>Macaulay duration in semiannual periods</t>
  </si>
  <si>
    <t>Macaulay duration in years</t>
  </si>
  <si>
    <t>Modified duration (MoD) in years</t>
  </si>
  <si>
    <t>Rate Risk</t>
  </si>
  <si>
    <t>% Chg in Prc</t>
  </si>
  <si>
    <t>Chg in Prc</t>
  </si>
  <si>
    <t>New Price</t>
  </si>
  <si>
    <t>Initial Price</t>
  </si>
  <si>
    <t>New Yield</t>
  </si>
  <si>
    <t>Initial Yield</t>
  </si>
  <si>
    <t>(payment at maturity  $100)</t>
  </si>
  <si>
    <t>Avg Period</t>
  </si>
  <si>
    <t>Avg Yr</t>
  </si>
  <si>
    <t>%Chg in Prc/Chg in Yield</t>
  </si>
  <si>
    <t>Maturity/Duration</t>
  </si>
  <si>
    <t>In-class Exercise: Duration of a 2-Year Treasury Note</t>
  </si>
  <si>
    <t>Treasury Note Characteristics</t>
  </si>
  <si>
    <t>In-class Exercise: Duration of a 3-Year Treasury Note</t>
  </si>
  <si>
    <t>In-class Exercise: Interest Rate Sensitivity of Zeros</t>
  </si>
  <si>
    <t xml:space="preserve">Suppose the yield curve is flat and shifts in parallel.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</si>
</sst>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0" fillId="0" borderId="3" xfId="0" applyBorder="1"/>
    <xf numFmtId="0" fontId="0" fillId="0" borderId="5" xfId="0" applyBorder="1"/>
    <xf numFmtId="0" fontId="0" fillId="0" borderId="7" xfId="0" applyBorder="1"/>
    <xf numFmtId="10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0" fontId="0" fillId="0" borderId="0" xfId="0" applyNumberFormat="1"/>
    <xf numFmtId="0" fontId="0" fillId="0" borderId="8" xfId="0" applyBorder="1"/>
    <xf numFmtId="10" fontId="0" fillId="0" borderId="2" xfId="0" applyNumberFormat="1" applyBorder="1"/>
    <xf numFmtId="0" fontId="0" fillId="0" borderId="6" xfId="0" applyBorder="1" applyAlignment="1">
      <alignment horizontal="right"/>
    </xf>
    <xf numFmtId="0" fontId="3" fillId="0" borderId="0" xfId="0" applyFont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2" fillId="0" borderId="12" xfId="0" applyFont="1" applyBorder="1"/>
    <xf numFmtId="0" fontId="0" fillId="0" borderId="14" xfId="0" applyBorder="1"/>
    <xf numFmtId="0" fontId="0" fillId="0" borderId="13" xfId="0" applyBorder="1"/>
    <xf numFmtId="0" fontId="0" fillId="0" borderId="0" xfId="0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0" xfId="0" applyFill="1"/>
    <xf numFmtId="164" fontId="0" fillId="2" borderId="0" xfId="0" applyNumberFormat="1" applyFill="1"/>
    <xf numFmtId="0" fontId="0" fillId="2" borderId="2" xfId="0" applyFill="1" applyBorder="1"/>
    <xf numFmtId="0" fontId="0" fillId="2" borderId="4" xfId="0" applyFill="1" applyBorder="1"/>
    <xf numFmtId="164" fontId="0" fillId="2" borderId="4" xfId="0" applyNumberFormat="1" applyFill="1" applyBorder="1"/>
    <xf numFmtId="10" fontId="0" fillId="2" borderId="2" xfId="1" applyNumberFormat="1" applyFont="1" applyFill="1" applyBorder="1"/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2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F451-9DDD-4820-833B-39F69A7AF999}">
  <dimension ref="A1:I17"/>
  <sheetViews>
    <sheetView zoomScale="203" zoomScaleNormal="203" workbookViewId="0"/>
  </sheetViews>
  <sheetFormatPr baseColWidth="10" defaultColWidth="8.83203125" defaultRowHeight="15" x14ac:dyDescent="0.2"/>
  <sheetData>
    <row r="1" spans="1:9" ht="16" thickBot="1" x14ac:dyDescent="0.25"/>
    <row r="2" spans="1:9" ht="15" customHeight="1" x14ac:dyDescent="0.2">
      <c r="B2" s="34" t="s">
        <v>25</v>
      </c>
      <c r="C2" s="35"/>
      <c r="D2" s="35"/>
      <c r="E2" s="35"/>
      <c r="F2" s="35"/>
      <c r="G2" s="35"/>
      <c r="H2" s="36"/>
    </row>
    <row r="3" spans="1:9" ht="15" customHeight="1" thickBot="1" x14ac:dyDescent="0.25">
      <c r="A3" s="11"/>
      <c r="B3" s="37"/>
      <c r="C3" s="38"/>
      <c r="D3" s="38"/>
      <c r="E3" s="38"/>
      <c r="F3" s="38"/>
      <c r="G3" s="38"/>
      <c r="H3" s="39"/>
      <c r="I3" s="1"/>
    </row>
    <row r="4" spans="1:9" ht="16" thickBot="1" x14ac:dyDescent="0.25"/>
    <row r="5" spans="1:9" ht="16" thickBot="1" x14ac:dyDescent="0.25">
      <c r="B5" s="30" t="s">
        <v>26</v>
      </c>
      <c r="C5" s="31"/>
      <c r="D5" s="31"/>
      <c r="E5" s="31"/>
      <c r="F5" s="31"/>
      <c r="G5" s="31"/>
      <c r="H5" s="32"/>
    </row>
    <row r="6" spans="1:9" x14ac:dyDescent="0.2">
      <c r="B6" s="12" t="s">
        <v>8</v>
      </c>
      <c r="C6" s="4">
        <v>100</v>
      </c>
      <c r="D6" s="40" t="s">
        <v>20</v>
      </c>
      <c r="E6" s="40"/>
      <c r="F6" s="40"/>
      <c r="G6" s="40"/>
      <c r="H6" s="41"/>
    </row>
    <row r="7" spans="1:9" x14ac:dyDescent="0.2">
      <c r="B7" s="13" t="s">
        <v>0</v>
      </c>
      <c r="C7" s="7">
        <v>1.4999999999999999E-2</v>
      </c>
      <c r="D7" s="33" t="s">
        <v>5</v>
      </c>
      <c r="E7" s="33"/>
      <c r="F7" s="33"/>
      <c r="G7" s="33"/>
      <c r="H7" s="42"/>
    </row>
    <row r="8" spans="1:9" ht="16" thickBot="1" x14ac:dyDescent="0.25">
      <c r="B8" s="14" t="s">
        <v>6</v>
      </c>
      <c r="C8" s="9">
        <v>0.01</v>
      </c>
      <c r="D8" s="43" t="s">
        <v>7</v>
      </c>
      <c r="E8" s="43"/>
      <c r="F8" s="43"/>
      <c r="G8" s="43"/>
      <c r="H8" s="44"/>
    </row>
    <row r="9" spans="1:9" x14ac:dyDescent="0.2">
      <c r="C9" s="7"/>
      <c r="D9" s="6"/>
      <c r="E9" s="6"/>
      <c r="F9" s="6"/>
      <c r="G9" s="6"/>
    </row>
    <row r="10" spans="1:9" ht="16" thickBot="1" x14ac:dyDescent="0.25">
      <c r="C10" s="7"/>
      <c r="D10" s="6"/>
      <c r="E10" s="6"/>
      <c r="F10" s="6"/>
      <c r="G10" s="6"/>
    </row>
    <row r="11" spans="1:9" x14ac:dyDescent="0.2">
      <c r="B11" s="46" t="s">
        <v>1</v>
      </c>
      <c r="C11" s="45">
        <v>0</v>
      </c>
      <c r="D11" s="45">
        <v>1</v>
      </c>
      <c r="E11" s="45">
        <v>2</v>
      </c>
      <c r="F11" s="45">
        <v>3</v>
      </c>
      <c r="G11" s="45">
        <v>4</v>
      </c>
      <c r="H11" s="47" t="s">
        <v>9</v>
      </c>
    </row>
    <row r="12" spans="1:9" x14ac:dyDescent="0.2">
      <c r="B12" s="48" t="s">
        <v>2</v>
      </c>
      <c r="C12" s="57"/>
      <c r="D12" s="58">
        <f>$C8/2*$C6</f>
        <v>0.5</v>
      </c>
      <c r="E12" s="58">
        <f>$C8/2*$C6</f>
        <v>0.5</v>
      </c>
      <c r="F12" s="58">
        <f>$C8/2*$C6</f>
        <v>0.5</v>
      </c>
      <c r="G12" s="58">
        <f>(1+$C8/2)*$C6</f>
        <v>100.49999999999999</v>
      </c>
      <c r="H12" s="59"/>
    </row>
    <row r="13" spans="1:9" x14ac:dyDescent="0.2">
      <c r="B13" s="48" t="s">
        <v>3</v>
      </c>
      <c r="C13" s="58">
        <f>SUM(D13:G13)</f>
        <v>99.01847239760238</v>
      </c>
      <c r="D13" s="58">
        <f>D12/(1+$C7/2)^D11</f>
        <v>0.49627791563275431</v>
      </c>
      <c r="E13" s="58">
        <f t="shared" ref="E13:G13" si="0">E12/(1+$C7/2)^E11</f>
        <v>0.49258353908958236</v>
      </c>
      <c r="F13" s="58">
        <f t="shared" si="0"/>
        <v>0.48891666410876661</v>
      </c>
      <c r="G13" s="58">
        <f t="shared" si="0"/>
        <v>97.540694278771284</v>
      </c>
      <c r="H13" s="60">
        <f>SUM(D13:G13)</f>
        <v>99.01847239760238</v>
      </c>
    </row>
    <row r="14" spans="1:9" ht="16" thickBot="1" x14ac:dyDescent="0.25">
      <c r="B14" s="49" t="s">
        <v>4</v>
      </c>
      <c r="C14" s="61"/>
      <c r="D14" s="63">
        <f>D13/$H13</f>
        <v>5.0119730552899448E-3</v>
      </c>
      <c r="E14" s="63">
        <f t="shared" ref="E14:G14" si="1">E13/$H13</f>
        <v>4.9746630821736419E-3</v>
      </c>
      <c r="F14" s="63">
        <f t="shared" si="1"/>
        <v>4.9376308507926969E-3</v>
      </c>
      <c r="G14" s="63">
        <f t="shared" si="1"/>
        <v>0.98507573301174378</v>
      </c>
      <c r="H14" s="62"/>
    </row>
    <row r="15" spans="1:9" x14ac:dyDescent="0.2">
      <c r="B15" t="s">
        <v>21</v>
      </c>
      <c r="C15" s="51">
        <f>SUMPRODUCT(D14:G14,D11:G11)</f>
        <v>3.9700771238189905</v>
      </c>
      <c r="D15" s="33" t="s">
        <v>10</v>
      </c>
      <c r="E15" s="33"/>
      <c r="F15" s="33"/>
      <c r="G15" s="33"/>
      <c r="H15" s="33"/>
    </row>
    <row r="16" spans="1:9" x14ac:dyDescent="0.2">
      <c r="B16" t="s">
        <v>22</v>
      </c>
      <c r="C16" s="51">
        <f>C15/2</f>
        <v>1.9850385619094952</v>
      </c>
      <c r="D16" s="33" t="s">
        <v>11</v>
      </c>
      <c r="E16" s="33"/>
      <c r="F16" s="33"/>
      <c r="G16" s="33"/>
      <c r="H16" s="33"/>
    </row>
    <row r="17" spans="2:4" x14ac:dyDescent="0.2">
      <c r="B17" t="s">
        <v>13</v>
      </c>
      <c r="C17" s="51">
        <f>C16/(1+C7/2)</f>
        <v>1.9702615999101689</v>
      </c>
      <c r="D17" t="s">
        <v>12</v>
      </c>
    </row>
  </sheetData>
  <mergeCells count="6">
    <mergeCell ref="D16:H16"/>
    <mergeCell ref="B2:H3"/>
    <mergeCell ref="D6:H6"/>
    <mergeCell ref="D7:H7"/>
    <mergeCell ref="D8:H8"/>
    <mergeCell ref="D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7969-3A05-8148-833E-76293E1F0BC3}">
  <dimension ref="A1:J16"/>
  <sheetViews>
    <sheetView zoomScale="190" zoomScaleNormal="190" workbookViewId="0"/>
  </sheetViews>
  <sheetFormatPr baseColWidth="10" defaultColWidth="8.83203125" defaultRowHeight="15" x14ac:dyDescent="0.2"/>
  <cols>
    <col min="1" max="1" width="3.6640625" customWidth="1"/>
  </cols>
  <sheetData>
    <row r="1" spans="1:10" ht="16" thickBot="1" x14ac:dyDescent="0.25"/>
    <row r="2" spans="1:10" ht="15" customHeight="1" x14ac:dyDescent="0.2">
      <c r="B2" s="34" t="s">
        <v>27</v>
      </c>
      <c r="C2" s="35"/>
      <c r="D2" s="35"/>
      <c r="E2" s="35"/>
      <c r="F2" s="35"/>
      <c r="G2" s="35"/>
      <c r="H2" s="35"/>
      <c r="I2" s="35"/>
      <c r="J2" s="36"/>
    </row>
    <row r="3" spans="1:10" ht="15" customHeight="1" thickBot="1" x14ac:dyDescent="0.25">
      <c r="A3" s="11"/>
      <c r="B3" s="37"/>
      <c r="C3" s="38"/>
      <c r="D3" s="38"/>
      <c r="E3" s="38"/>
      <c r="F3" s="38"/>
      <c r="G3" s="38"/>
      <c r="H3" s="38"/>
      <c r="I3" s="38"/>
      <c r="J3" s="39"/>
    </row>
    <row r="4" spans="1:10" ht="16" thickBot="1" x14ac:dyDescent="0.25">
      <c r="B4" s="1" t="s">
        <v>26</v>
      </c>
    </row>
    <row r="5" spans="1:10" x14ac:dyDescent="0.2">
      <c r="B5" s="12" t="s">
        <v>8</v>
      </c>
      <c r="C5" s="4">
        <v>100</v>
      </c>
      <c r="D5" s="40" t="s">
        <v>20</v>
      </c>
      <c r="E5" s="40"/>
      <c r="F5" s="40"/>
      <c r="G5" s="40"/>
      <c r="H5" s="40"/>
      <c r="I5" s="40"/>
      <c r="J5" s="41"/>
    </row>
    <row r="6" spans="1:10" x14ac:dyDescent="0.2">
      <c r="B6" s="13" t="s">
        <v>0</v>
      </c>
      <c r="C6" s="7">
        <v>1.4999999999999999E-2</v>
      </c>
      <c r="D6" s="33" t="s">
        <v>5</v>
      </c>
      <c r="E6" s="33"/>
      <c r="F6" s="33"/>
      <c r="G6" s="33"/>
      <c r="H6" s="33"/>
      <c r="I6" s="33"/>
      <c r="J6" s="42"/>
    </row>
    <row r="7" spans="1:10" ht="16" thickBot="1" x14ac:dyDescent="0.25">
      <c r="B7" s="14" t="s">
        <v>6</v>
      </c>
      <c r="C7" s="9">
        <v>0.01</v>
      </c>
      <c r="D7" s="43" t="s">
        <v>7</v>
      </c>
      <c r="E7" s="43"/>
      <c r="F7" s="43"/>
      <c r="G7" s="43"/>
      <c r="H7" s="43"/>
      <c r="I7" s="43"/>
      <c r="J7" s="44"/>
    </row>
    <row r="8" spans="1:10" x14ac:dyDescent="0.2">
      <c r="B8" s="7"/>
      <c r="C8" s="7"/>
      <c r="D8" s="6"/>
      <c r="E8" s="6"/>
      <c r="F8" s="6"/>
      <c r="G8" s="6"/>
      <c r="H8" s="6"/>
      <c r="I8" s="6"/>
      <c r="J8" s="7"/>
    </row>
    <row r="9" spans="1:10" ht="16" thickBot="1" x14ac:dyDescent="0.25">
      <c r="B9" s="7"/>
      <c r="C9" s="7"/>
      <c r="D9" s="6"/>
      <c r="E9" s="6"/>
      <c r="F9" s="6"/>
      <c r="G9" s="6"/>
      <c r="H9" s="6"/>
      <c r="I9" s="6"/>
      <c r="J9" s="7"/>
    </row>
    <row r="10" spans="1:10" x14ac:dyDescent="0.2">
      <c r="B10" s="8" t="s">
        <v>1</v>
      </c>
      <c r="C10" s="4">
        <v>0</v>
      </c>
      <c r="D10" s="4">
        <v>1</v>
      </c>
      <c r="E10" s="4">
        <v>2</v>
      </c>
      <c r="F10" s="4">
        <v>3</v>
      </c>
      <c r="G10" s="4">
        <v>4</v>
      </c>
      <c r="H10" s="4">
        <v>5</v>
      </c>
      <c r="I10" s="4">
        <v>6</v>
      </c>
      <c r="J10" s="10" t="s">
        <v>9</v>
      </c>
    </row>
    <row r="11" spans="1:10" x14ac:dyDescent="0.2">
      <c r="B11" s="3" t="s">
        <v>2</v>
      </c>
      <c r="C11" s="50"/>
      <c r="D11" s="51">
        <f>$C7/2*$C5</f>
        <v>0.5</v>
      </c>
      <c r="E11" s="51">
        <f>$C7/2*$C5</f>
        <v>0.5</v>
      </c>
      <c r="F11" s="51">
        <f>$C7/2*$C5</f>
        <v>0.5</v>
      </c>
      <c r="G11" s="51">
        <f t="shared" ref="G11:H11" si="0">$C7/2*$C5</f>
        <v>0.5</v>
      </c>
      <c r="H11" s="51">
        <f t="shared" si="0"/>
        <v>0.5</v>
      </c>
      <c r="I11" s="51">
        <f>(1+$C7/2)*$C5</f>
        <v>100.49999999999999</v>
      </c>
      <c r="J11" s="53"/>
    </row>
    <row r="12" spans="1:10" x14ac:dyDescent="0.2">
      <c r="B12" s="3" t="s">
        <v>3</v>
      </c>
      <c r="C12" s="51">
        <f>SUM(D12:I12)</f>
        <v>98.538600592432545</v>
      </c>
      <c r="D12" s="51">
        <f>D11/(1+$C6/2)^D10</f>
        <v>0.49627791563275431</v>
      </c>
      <c r="E12" s="51">
        <f t="shared" ref="E12:I12" si="1">E11/(1+$C6/2)^E10</f>
        <v>0.49258353908958236</v>
      </c>
      <c r="F12" s="51">
        <f t="shared" si="1"/>
        <v>0.48891666410876661</v>
      </c>
      <c r="G12" s="51">
        <f t="shared" si="1"/>
        <v>0.48527708596403629</v>
      </c>
      <c r="H12" s="51">
        <f t="shared" si="1"/>
        <v>0.48166460145313778</v>
      </c>
      <c r="I12" s="51">
        <f t="shared" si="1"/>
        <v>96.093880786184272</v>
      </c>
      <c r="J12" s="54">
        <f>SUM(D12:I12)</f>
        <v>98.538600592432545</v>
      </c>
    </row>
    <row r="13" spans="1:10" ht="16" thickBot="1" x14ac:dyDescent="0.25">
      <c r="B13" s="2" t="s">
        <v>4</v>
      </c>
      <c r="C13" s="52"/>
      <c r="D13" s="55">
        <f>D12/$J12</f>
        <v>5.036380795434869E-3</v>
      </c>
      <c r="E13" s="55">
        <f t="shared" ref="E13:I13" si="2">E12/$J12</f>
        <v>4.9988891269824995E-3</v>
      </c>
      <c r="F13" s="55">
        <f t="shared" si="2"/>
        <v>4.9616765528362281E-3</v>
      </c>
      <c r="G13" s="55">
        <f t="shared" si="2"/>
        <v>4.9247409953709458E-3</v>
      </c>
      <c r="H13" s="55">
        <f t="shared" si="2"/>
        <v>4.8880803924277374E-3</v>
      </c>
      <c r="I13" s="55">
        <f t="shared" si="2"/>
        <v>0.97519023213694778</v>
      </c>
      <c r="J13" s="56"/>
    </row>
    <row r="14" spans="1:10" x14ac:dyDescent="0.2">
      <c r="B14" t="s">
        <v>21</v>
      </c>
      <c r="C14" s="51">
        <f>SUMPRODUCT(D13:I13,D10:I10)</f>
        <v>5.9251999474732173</v>
      </c>
      <c r="D14" s="33" t="s">
        <v>10</v>
      </c>
      <c r="E14" s="33"/>
      <c r="F14" s="33"/>
      <c r="G14" s="33"/>
      <c r="H14" s="33"/>
      <c r="I14" s="33"/>
      <c r="J14" s="33"/>
    </row>
    <row r="15" spans="1:10" x14ac:dyDescent="0.2">
      <c r="B15" t="s">
        <v>22</v>
      </c>
      <c r="C15" s="51">
        <f>C14/2</f>
        <v>2.9625999737366087</v>
      </c>
      <c r="D15" s="33" t="s">
        <v>11</v>
      </c>
      <c r="E15" s="33"/>
      <c r="F15" s="33"/>
      <c r="G15" s="33"/>
      <c r="H15" s="33"/>
      <c r="I15" s="33"/>
      <c r="J15" s="33"/>
    </row>
    <row r="16" spans="1:10" x14ac:dyDescent="0.2">
      <c r="B16" t="s">
        <v>13</v>
      </c>
      <c r="C16" s="51">
        <f>C15/(1+C6/2)</f>
        <v>2.9405458796393136</v>
      </c>
      <c r="D16" t="s">
        <v>12</v>
      </c>
    </row>
  </sheetData>
  <mergeCells count="6">
    <mergeCell ref="D15:J15"/>
    <mergeCell ref="B2:J3"/>
    <mergeCell ref="D5:J5"/>
    <mergeCell ref="D6:J6"/>
    <mergeCell ref="D7:J7"/>
    <mergeCell ref="D14:J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D7AD-5A76-E142-AF8C-EE7ACBA5703E}">
  <dimension ref="A1:J13"/>
  <sheetViews>
    <sheetView tabSelected="1" zoomScale="194" zoomScaleNormal="194" workbookViewId="0"/>
  </sheetViews>
  <sheetFormatPr baseColWidth="10" defaultColWidth="8.83203125" defaultRowHeight="15" x14ac:dyDescent="0.2"/>
  <cols>
    <col min="1" max="1" width="2.83203125" customWidth="1"/>
    <col min="2" max="2" width="17.5" customWidth="1"/>
    <col min="3" max="3" width="11.1640625" customWidth="1"/>
    <col min="4" max="4" width="11.6640625" customWidth="1"/>
    <col min="6" max="6" width="11.83203125" customWidth="1"/>
    <col min="7" max="7" width="30" customWidth="1"/>
  </cols>
  <sheetData>
    <row r="1" spans="1:10" ht="16" thickBot="1" x14ac:dyDescent="0.25"/>
    <row r="2" spans="1:10" ht="15" customHeight="1" x14ac:dyDescent="0.2">
      <c r="B2" s="34" t="s">
        <v>28</v>
      </c>
      <c r="C2" s="35"/>
      <c r="D2" s="35"/>
      <c r="E2" s="35"/>
      <c r="F2" s="35"/>
      <c r="G2" s="36"/>
      <c r="H2" s="11"/>
      <c r="I2" s="11"/>
      <c r="J2" s="11"/>
    </row>
    <row r="3" spans="1:10" ht="15" customHeight="1" thickBot="1" x14ac:dyDescent="0.25">
      <c r="A3" s="11"/>
      <c r="B3" s="37"/>
      <c r="C3" s="38"/>
      <c r="D3" s="38"/>
      <c r="E3" s="38"/>
      <c r="F3" s="38"/>
      <c r="G3" s="39"/>
      <c r="H3" s="11"/>
      <c r="I3" s="11"/>
      <c r="J3" s="11"/>
    </row>
    <row r="4" spans="1:10" ht="16" thickBot="1" x14ac:dyDescent="0.25">
      <c r="B4" s="1" t="s">
        <v>29</v>
      </c>
    </row>
    <row r="5" spans="1:10" ht="16" thickBot="1" x14ac:dyDescent="0.25">
      <c r="C5" s="15" t="s">
        <v>19</v>
      </c>
      <c r="D5" s="16" t="s">
        <v>18</v>
      </c>
    </row>
    <row r="6" spans="1:10" ht="16" thickBot="1" x14ac:dyDescent="0.25">
      <c r="C6" s="17">
        <v>0.02</v>
      </c>
      <c r="D6" s="18">
        <v>2.1000000000000001E-2</v>
      </c>
    </row>
    <row r="7" spans="1:10" ht="16" thickBot="1" x14ac:dyDescent="0.25">
      <c r="C7" s="5"/>
      <c r="D7" s="5"/>
    </row>
    <row r="8" spans="1:10" ht="17" thickBot="1" x14ac:dyDescent="0.25">
      <c r="B8" s="27" t="s">
        <v>24</v>
      </c>
      <c r="C8" s="28" t="s">
        <v>17</v>
      </c>
      <c r="D8" s="28" t="s">
        <v>16</v>
      </c>
      <c r="E8" s="28" t="s">
        <v>15</v>
      </c>
      <c r="F8" s="28" t="s">
        <v>14</v>
      </c>
      <c r="G8" s="29" t="s">
        <v>23</v>
      </c>
    </row>
    <row r="9" spans="1:10" x14ac:dyDescent="0.2">
      <c r="B9" s="19">
        <v>1</v>
      </c>
      <c r="C9" s="20">
        <f>100/(1+C$6/2)^(2*$B9)</f>
        <v>98.029604940692082</v>
      </c>
      <c r="D9" s="20">
        <f>100/(1+D$6/2)^(2*$B9)</f>
        <v>97.932617951881298</v>
      </c>
      <c r="E9" s="20">
        <f>D9-C9</f>
        <v>-9.6986988810783714E-2</v>
      </c>
      <c r="F9" s="21">
        <f>E9/C9</f>
        <v>-9.8936427285880473E-4</v>
      </c>
      <c r="G9" s="22">
        <f>F9/($D$6-$C$6)</f>
        <v>-0.98936427285880391</v>
      </c>
    </row>
    <row r="10" spans="1:10" x14ac:dyDescent="0.2">
      <c r="B10" s="19">
        <v>5</v>
      </c>
      <c r="C10" s="20">
        <f t="shared" ref="C10:D13" si="0">100/(1+C$6/2)^(2*$B10)</f>
        <v>90.528695469298313</v>
      </c>
      <c r="D10" s="20">
        <f t="shared" si="0"/>
        <v>90.081751440784259</v>
      </c>
      <c r="E10" s="20">
        <f>D10-C10</f>
        <v>-0.44694402851405357</v>
      </c>
      <c r="F10" s="21">
        <f>E10/C10</f>
        <v>-4.9370426271703989E-3</v>
      </c>
      <c r="G10" s="22">
        <f t="shared" ref="G10:G13" si="1">F10/($D$6-$C$6)</f>
        <v>-4.9370426271703947</v>
      </c>
    </row>
    <row r="11" spans="1:10" x14ac:dyDescent="0.2">
      <c r="B11" s="19">
        <v>10</v>
      </c>
      <c r="C11" s="20">
        <f t="shared" si="0"/>
        <v>81.954447033729537</v>
      </c>
      <c r="D11" s="20">
        <f t="shared" si="0"/>
        <v>81.147219426392397</v>
      </c>
      <c r="E11" s="20">
        <f>D11-C11</f>
        <v>-0.80722760733713983</v>
      </c>
      <c r="F11" s="21">
        <f>E11/C11</f>
        <v>-9.8497108644380656E-3</v>
      </c>
      <c r="G11" s="22">
        <f t="shared" si="1"/>
        <v>-9.8497108644380571</v>
      </c>
    </row>
    <row r="12" spans="1:10" x14ac:dyDescent="0.2">
      <c r="B12" s="19">
        <v>20</v>
      </c>
      <c r="C12" s="20">
        <f t="shared" si="0"/>
        <v>67.165313886043805</v>
      </c>
      <c r="D12" s="20">
        <f t="shared" si="0"/>
        <v>65.84871220635074</v>
      </c>
      <c r="E12" s="20">
        <f>D12-C12</f>
        <v>-1.3166016796930649</v>
      </c>
      <c r="F12" s="21">
        <f>E12/C12</f>
        <v>-1.9602404924763402E-2</v>
      </c>
      <c r="G12" s="22">
        <f t="shared" si="1"/>
        <v>-19.602404924763384</v>
      </c>
    </row>
    <row r="13" spans="1:10" ht="16" thickBot="1" x14ac:dyDescent="0.25">
      <c r="B13" s="23">
        <v>30</v>
      </c>
      <c r="C13" s="24">
        <f t="shared" si="0"/>
        <v>55.044961593775966</v>
      </c>
      <c r="D13" s="24">
        <f t="shared" si="0"/>
        <v>53.434398983541065</v>
      </c>
      <c r="E13" s="24">
        <f>D13-C13</f>
        <v>-1.6105626102349007</v>
      </c>
      <c r="F13" s="25">
        <f>E13/C13</f>
        <v>-2.9259037768445094E-2</v>
      </c>
      <c r="G13" s="26">
        <f t="shared" si="1"/>
        <v>-29.259037768445069</v>
      </c>
    </row>
  </sheetData>
  <mergeCells count="1">
    <mergeCell ref="B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 1. 2-year Treasury Note</vt:lpstr>
      <vt:lpstr>Example 2. 3-year Treasury Note</vt:lpstr>
      <vt:lpstr>Example 3. Zeros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 Tetlock</dc:creator>
  <cp:lastModifiedBy>Sangmin Oh</cp:lastModifiedBy>
  <dcterms:created xsi:type="dcterms:W3CDTF">2020-09-03T13:41:59Z</dcterms:created>
  <dcterms:modified xsi:type="dcterms:W3CDTF">2025-02-07T19:31:32Z</dcterms:modified>
</cp:coreProperties>
</file>