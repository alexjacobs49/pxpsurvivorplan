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🏠 HOME" sheetId="1" state="visible" r:id="rId3"/>
    <sheet name="🗺️ Q DECODER" sheetId="2" state="visible" r:id="rId4"/>
    <sheet name="📋 CONVENTIONS" sheetId="3" state="visible" r:id="rId5"/>
    <sheet name="💵 BOND PRICING" sheetId="4" state="visible" r:id="rId6"/>
    <sheet name="📏 DURATION" sheetId="5" state="visible" r:id="rId7"/>
    <sheet name="📊 SPOT &amp; FWD RATES" sheetId="6" state="visible" r:id="rId8"/>
    <sheet name="🛡️ IMMUNIZATION" sheetId="7" state="visible" r:id="rId9"/>
    <sheet name="💹 CREDIT &amp; FRN" sheetId="8" state="visible" r:id="rId10"/>
    <sheet name="📅 TVM" sheetId="9" state="visible" r:id="rId11"/>
    <sheet name="⚖️ LEVERAGE" sheetId="10" state="visible" r:id="rId12"/>
    <sheet name="🔀 PORTFOLIO" sheetId="11" state="visible" r:id="rId13"/>
    <sheet name="🎯 MVE &amp; CAPM" sheetId="12" state="visible" r:id="rId14"/>
    <sheet name="📐 FORMULAS REF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<sst xmlns="http://schemas.openxmlformats.org/spreadsheetml/2006/main" count="716" uniqueCount="638">
  <si>
    <t xml:space="preserve">B8306 Capital Markets &amp; Investments — Exam Calculator Workbook</t>
  </si>
  <si>
    <t xml:space="preserve">Prof. Simon Oh · Columbia Business School · Spring 2026  |  Open book exam tool — plug in numbers, get answers</t>
  </si>
  <si>
    <t xml:space="preserve">📋  SHEET</t>
  </si>
  <si>
    <t xml:space="preserve">WHAT IT SOLVES</t>
  </si>
  <si>
    <t xml:space="preserve">KEY FORMULAS / METHODS</t>
  </si>
  <si>
    <t xml:space="preserve">🗺️ Q DECODER</t>
  </si>
  <si>
    <t xml:space="preserve">Map exam wording → correct sheet</t>
  </si>
  <si>
    <t xml:space="preserve">Quick lookup table</t>
  </si>
  <si>
    <t xml:space="preserve">📋 CONVENTIONS</t>
  </si>
  <si>
    <t xml:space="preserve">Exam defaults &amp; sign conventions</t>
  </si>
  <si>
    <t xml:space="preserve">Semi-annual, par=$100, annualized rates</t>
  </si>
  <si>
    <t xml:space="preserve">💵 BOND PRICING</t>
  </si>
  <si>
    <t xml:space="preserve">Price from spot rates or YTM | YTM from price | STRIP price/yield</t>
  </si>
  <si>
    <t xml:space="preserve">PV of cash flows, RATE(), STRIP formula</t>
  </si>
  <si>
    <t xml:space="preserve">📏 DURATION</t>
  </si>
  <si>
    <t xml:space="preserve">Macaulay &amp; Modified duration | Price sensitivity | Portfolio duration | Hedge ratio</t>
  </si>
  <si>
    <t xml:space="preserve">Σ t·w | ModD=MacD/(1+y/m) | ΔP≈-ModD·P·Δy</t>
  </si>
  <si>
    <t xml:space="preserve">📊 SPOT &amp; FWD</t>
  </si>
  <si>
    <t xml:space="preserve">Spot rates from STRIP prices | Forward rates | Discount factors</t>
  </si>
  <si>
    <t xml:space="preserve">f(t1,t2) from spot curve</t>
  </si>
  <si>
    <t xml:space="preserve">🛡️ IMMUNIZATION</t>
  </si>
  <si>
    <t xml:space="preserve">Duration matching | Cash+Zero immunization | Bank equity exposure</t>
  </si>
  <si>
    <t xml:space="preserve">w_zero = D_liab/T_zero | ΔE ≈ -(ModD_A·A - ModD_L·L)·Δy</t>
  </si>
  <si>
    <t xml:space="preserve">💹 CREDIT &amp; FRN</t>
  </si>
  <si>
    <t xml:space="preserve">Default risk &amp; expected return | Credit spread | Floating rate note duration</t>
  </si>
  <si>
    <t xml:space="preserve">E[R]= E[CF]/Price − 1 | FRN ModD ≈ 0.5/(1+y/2)</t>
  </si>
  <si>
    <t xml:space="preserve">📅 TVM</t>
  </si>
  <si>
    <t xml:space="preserve">PV/FV | Annuities | Perpetuities | T-bill vs STRIPS rollover</t>
  </si>
  <si>
    <t xml:space="preserve">PV, FV, PMT, RATE, NPER functions</t>
  </si>
  <si>
    <t xml:space="preserve">⚖️ LEVERAGE</t>
  </si>
  <si>
    <t xml:space="preserve">Equity returns with leverage | Balance sheet leverage metrics</t>
  </si>
  <si>
    <t xml:space="preserve">E[R_eq] = E[R_asset] + D/E·(E[R_asset]-r_debt)</t>
  </si>
  <si>
    <t xml:space="preserve">🔀 PORTFOLIO</t>
  </si>
  <si>
    <t xml:space="preserve">2-asset &amp; 3-asset: E[R], variance, Sharpe</t>
  </si>
  <si>
    <t xml:space="preserve">Var_p = w1²σ1² + w2²σ2² + 2w1w2Cov12</t>
  </si>
  <si>
    <t xml:space="preserve">🎯 MVE &amp; CAPM</t>
  </si>
  <si>
    <t xml:space="preserve">Tangency portfolio | Complete portfolio | CAPM/SML | Beta</t>
  </si>
  <si>
    <t xml:space="preserve">w* = MVE formula | E[Ri]=Rf+β(E[Rm]-Rf)</t>
  </si>
  <si>
    <t xml:space="preserve">📐 FORMULAS REF</t>
  </si>
  <si>
    <t xml:space="preserve">All key formulas &amp; identities in one place</t>
  </si>
  <si>
    <t xml:space="preserve">Quick lookup during exam</t>
  </si>
  <si>
    <t xml:space="preserve">COLOUR LEGEND</t>
  </si>
  <si>
    <t xml:space="preserve">YELLOW = Input cells (type here)</t>
  </si>
  <si>
    <t xml:space="preserve">WHITE  = Calculated (auto-computed)</t>
  </si>
  <si>
    <t xml:space="preserve">BLUE   = Key answer / result</t>
  </si>
  <si>
    <t xml:space="preserve">GREEN  = Check / verification</t>
  </si>
  <si>
    <t xml:space="preserve">PEACH  = Warning / flag</t>
  </si>
  <si>
    <t xml:space="preserve">🗺️  QUESTION DECODER — Find your problem type instantly</t>
  </si>
  <si>
    <t xml:space="preserve">EXAM PHRASE / SIGNAL</t>
  </si>
  <si>
    <t xml:space="preserve">→ SHEET</t>
  </si>
  <si>
    <t xml:space="preserve">TYPICAL INPUTS GIVEN</t>
  </si>
  <si>
    <t xml:space="preserve">TYPICAL OUTPUT ASKED FOR</t>
  </si>
  <si>
    <t xml:space="preserve">WATCH OUT FOR</t>
  </si>
  <si>
    <t xml:space="preserve">'Compute the price of the bond' / 'What is the price?'</t>
  </si>
  <si>
    <t xml:space="preserve">Spot rate curve or flat YTM, coupon rate, maturity</t>
  </si>
  <si>
    <t xml:space="preserve">Dollar price (per $100 par)</t>
  </si>
  <si>
    <t xml:space="preserve">Semi-annual discounting; coupon=rate×par/2</t>
  </si>
  <si>
    <t xml:space="preserve">'Compute/find the yield to maturity' / 'What is the YTM?'</t>
  </si>
  <si>
    <t xml:space="preserve">Bond price, coupon rate, maturity</t>
  </si>
  <si>
    <t xml:space="preserve">Annualized YTM (semi-cpd)</t>
  </si>
  <si>
    <t xml:space="preserve">Solve via RATE() or IRR(); multiply periodic rate × 2</t>
  </si>
  <si>
    <t xml:space="preserve">'A STRIP costs $X' / 'Zero-coupon bond priced at $X'</t>
  </si>
  <si>
    <t xml:space="preserve">STRIP price, par, maturity</t>
  </si>
  <si>
    <t xml:space="preserve">Implied yield (spot rate)</t>
  </si>
  <si>
    <t xml:space="preserve">y = 2×[(par/price)^(1/(2T)) − 1]</t>
  </si>
  <si>
    <t xml:space="preserve">'Compute Macaulay / Modified duration'</t>
  </si>
  <si>
    <t xml:space="preserve">Bond inputs + YTM (or spot rates)</t>
  </si>
  <si>
    <t xml:space="preserve">MacD (years) and ModD (years)</t>
  </si>
  <si>
    <t xml:space="preserve">MacD in years = Σ t·w; ModD = MacD/(1+y/2)</t>
  </si>
  <si>
    <t xml:space="preserve">'Estimate the new price / dollar loss if yields shift by X%'</t>
  </si>
  <si>
    <t xml:space="preserve">ModD, current price, Δy</t>
  </si>
  <si>
    <t xml:space="preserve">ΔP ≈ -ModD × P × Δy</t>
  </si>
  <si>
    <t xml:space="preserve">Linear approx; convexity ignored unless asked</t>
  </si>
  <si>
    <t xml:space="preserve">'What dollar position in [bond] immunizes / hedges?'</t>
  </si>
  <si>
    <t xml:space="preserve">Long bond value+ModD, hedge bond ModD</t>
  </si>
  <si>
    <t xml:space="preserve">Hedge $ = -(V_long × ModD_long) / ModD_hedge</t>
  </si>
  <si>
    <t xml:space="preserve">Sign: short hedge means sell</t>
  </si>
  <si>
    <t xml:space="preserve">'Portfolio modified duration' / 'Weighted duration'</t>
  </si>
  <si>
    <t xml:space="preserve">Market values and ModDs of each bond</t>
  </si>
  <si>
    <t xml:space="preserve">Port. ModD = Σ(V_i × ModD_i) / ΣV_i</t>
  </si>
  <si>
    <t xml:space="preserve">Use market values as weights, not face values</t>
  </si>
  <si>
    <t xml:space="preserve">'Implied spot rate' / 'Extract spot rates from STRIP prices'</t>
  </si>
  <si>
    <t xml:space="preserve">STRIP prices at each maturity</t>
  </si>
  <si>
    <t xml:space="preserve">Spot rates s(T) for each T</t>
  </si>
  <si>
    <t xml:space="preserve">2×[(100/Price)^(1/2T) − 1]</t>
  </si>
  <si>
    <t xml:space="preserve">'Forward rate from year t1 to t2'</t>
  </si>
  <si>
    <t xml:space="preserve">Spot rates s(t1) and s(t2)</t>
  </si>
  <si>
    <t xml:space="preserve">Forward rate f(t1,t2)</t>
  </si>
  <si>
    <t xml:space="preserve">Use semi-annual compounding; forward ≠ spot</t>
  </si>
  <si>
    <t xml:space="preserve">'How much to invest in cash vs zeros to immunize liabilities?'</t>
  </si>
  <si>
    <t xml:space="preserve">Total PV of liabilities, liability duration, zero maturity</t>
  </si>
  <si>
    <t xml:space="preserve">w_zero = D_liab/T_zero; w_cash = 1 − w_zero</t>
  </si>
  <si>
    <t xml:space="preserve">Duration of cash = 0; equate asset &amp; liability durations</t>
  </si>
  <si>
    <t xml:space="preserve">'Pension fund / insurance liabilities' — duration match</t>
  </si>
  <si>
    <t xml:space="preserve">List of future liability CFs</t>
  </si>
  <si>
    <t xml:space="preserve">PV of liabilities, MacD of liabilities, asset allocation</t>
  </si>
  <si>
    <t xml:space="preserve">Must equate VALUE and DURATION of assets &amp; liabilities</t>
  </si>
  <si>
    <t xml:space="preserve">'Bank equity change when rates shift' / 'ΔEquity'</t>
  </si>
  <si>
    <t xml:space="preserve">Asset MV + ModD; Liability MV + ModD</t>
  </si>
  <si>
    <t xml:space="preserve">ΔE ≈ −(ModD_A×V_A − ModD_L×V_L) × Δy</t>
  </si>
  <si>
    <t xml:space="preserve">Equity = Assets − Liabilities; long assets, short liabilities</t>
  </si>
  <si>
    <t xml:space="preserve">'Expected return on a corporate/defaultable bond'</t>
  </si>
  <si>
    <t xml:space="preserve">Price, par, P(default), recovery rate</t>
  </si>
  <si>
    <t xml:space="preserve">E[CF] = (1−PD)×par + PD×RR×par; E[R]=E[CF]/price − 1</t>
  </si>
  <si>
    <t xml:space="preserve">Annual compounding; no coupons for 1-yr zeros</t>
  </si>
  <si>
    <t xml:space="preserve">'Credit spread' / 'Yield spread over Treasury'</t>
  </si>
  <si>
    <t xml:space="preserve">Risky bond yield, risk-free yield</t>
  </si>
  <si>
    <t xml:space="preserve">Spread = yield_risky − yield_riskfree (in bps)</t>
  </si>
  <si>
    <t xml:space="preserve">Convert to basis points (×100 for %, ×10000 for bps)</t>
  </si>
  <si>
    <t xml:space="preserve">'Duration of a floating rate note' / 'FRN modified duration'</t>
  </si>
  <si>
    <t xml:space="preserve">Benchmark rate, spread, reset frequency</t>
  </si>
  <si>
    <t xml:space="preserve">ModD ≈ 0.5/(1+total_rate/2) for semi-annual FRN</t>
  </si>
  <si>
    <t xml:space="preserve">FRN reprices to par at reset → very low duration</t>
  </si>
  <si>
    <t xml:space="preserve">'PV / FV of lump sum / annuity / perpetuity'</t>
  </si>
  <si>
    <t xml:space="preserve">Rate, periods, payment or lump sum</t>
  </si>
  <si>
    <t xml:space="preserve">PV or FV (use PV(), FV(), PMT() functions)</t>
  </si>
  <si>
    <t xml:space="preserve">Check compounding period matches payment period</t>
  </si>
  <si>
    <t xml:space="preserve">'T-bill rollover vs buy STRIPS' / 'Reinvestment risk'</t>
  </si>
  <si>
    <t xml:space="preserve">Initial amount, rates for each strategy</t>
  </si>
  <si>
    <t xml:space="preserve">Terminal wealth under each strategy</t>
  </si>
  <si>
    <t xml:space="preserve">STRIPS lock in rate; T-bills face reinvestment risk</t>
  </si>
  <si>
    <t xml:space="preserve">'Expected return / volatility with leverage' / Maria's decision</t>
  </si>
  <si>
    <t xml:space="preserve">Asset return (up/down), prob, debt rate, leverage</t>
  </si>
  <si>
    <t xml:space="preserve">E[R_equity], Volatility of equity return</t>
  </si>
  <si>
    <t xml:space="preserve">Leverage amplifies BOTH return AND risk symmetrically</t>
  </si>
  <si>
    <t xml:space="preserve">'Portfolio return and volatility' (2 or 3 assets)</t>
  </si>
  <si>
    <t xml:space="preserve">E[Ri], σi, weights, correlations</t>
  </si>
  <si>
    <t xml:space="preserve">E[Rp], σp, Sharpe ratio</t>
  </si>
  <si>
    <t xml:space="preserve">Cov12 = ρ12×σ1×σ2; Var = w1²σ1²+w2²σ2²+2w1w2Cov12</t>
  </si>
  <si>
    <t xml:space="preserve">'Optimal risky portfolio' / 'Tangency portfolio' / 'MVE'</t>
  </si>
  <si>
    <t xml:space="preserve">E[Ri], σi, ρ12, Rf</t>
  </si>
  <si>
    <t xml:space="preserve">MVE weights w1*, w2*, Sharpe ratio</t>
  </si>
  <si>
    <t xml:space="preserve">Formula: w1* ∝ numerator; denominator cancels</t>
  </si>
  <si>
    <t xml:space="preserve">'CAPM required return' / 'SML' / 'Beta'</t>
  </si>
  <si>
    <t xml:space="preserve">β, Rf, E[Rm] or market Sharpe</t>
  </si>
  <si>
    <t xml:space="preserve">E[Ri] = Rf + β(E[Rm]−Rf)</t>
  </si>
  <si>
    <t xml:space="preserve">Beta = ρim × σi/σm = Cov(Ri,Rm)/Var(Rm)</t>
  </si>
  <si>
    <t xml:space="preserve">'Gordon growth model' / 'Dividend discount model'</t>
  </si>
  <si>
    <t xml:space="preserve">D0 (or D1), k (required return), g (growth)</t>
  </si>
  <si>
    <t xml:space="preserve">P0 = D1/(k−g)</t>
  </si>
  <si>
    <t xml:space="preserve">Need k &gt; g; D1 = D0×(1+g)</t>
  </si>
  <si>
    <t xml:space="preserve">'Implied growth rate / required return from stock price'</t>
  </si>
  <si>
    <t xml:space="preserve">P0, D0, one of {k, g}</t>
  </si>
  <si>
    <t xml:space="preserve">g = k − D1/P0  OR  k = D1/P0 + g</t>
  </si>
  <si>
    <t xml:space="preserve">Use Goal Seek / Solver for exact g if needed</t>
  </si>
  <si>
    <t xml:space="preserve">📋  EXAM CONVENTIONS — Read before every exam!</t>
  </si>
  <si>
    <t xml:space="preserve">DEFAULT ASSUMPTIONS (unless the question says otherwise)</t>
  </si>
  <si>
    <t xml:space="preserve">Par / Face Value</t>
  </si>
  <si>
    <t xml:space="preserve">$100 per bond</t>
  </si>
  <si>
    <t xml:space="preserve">💡 Most common exam default</t>
  </si>
  <si>
    <t xml:space="preserve">Coupon payment frequency</t>
  </si>
  <si>
    <t xml:space="preserve">Semi-annual (2× per year)</t>
  </si>
  <si>
    <t xml:space="preserve">💡 Watch for annual coupon exceptions</t>
  </si>
  <si>
    <t xml:space="preserve">Yield compounding</t>
  </si>
  <si>
    <t xml:space="preserve">Semi-annual (annualized)</t>
  </si>
  <si>
    <t xml:space="preserve">💡 Yields are APR, compounded semi-annually</t>
  </si>
  <si>
    <t xml:space="preserve">Discount factor (semi-annual)</t>
  </si>
  <si>
    <t xml:space="preserve">DF(T) = 1/(1 + y/2)^(2T)</t>
  </si>
  <si>
    <t xml:space="preserve">💡 T in years, y = annual yield</t>
  </si>
  <si>
    <t xml:space="preserve">STRIPS</t>
  </si>
  <si>
    <t xml:space="preserve">→ zero-coupon treasury bonds</t>
  </si>
  <si>
    <t xml:space="preserve">💡 STRIP price &lt; par always</t>
  </si>
  <si>
    <t xml:space="preserve">Transaction costs</t>
  </si>
  <si>
    <t xml:space="preserve">None</t>
  </si>
  <si>
    <t xml:space="preserve">💡 No bid-ask spread unless stated</t>
  </si>
  <si>
    <t xml:space="preserve">Notation '$xM'</t>
  </si>
  <si>
    <t xml:space="preserve">→ x million dollars</t>
  </si>
  <si>
    <t xml:space="preserve">💡 e.g. '$100M' = $100,000,000</t>
  </si>
  <si>
    <t xml:space="preserve">Bond at par</t>
  </si>
  <si>
    <t xml:space="preserve">coupon rate = YTM</t>
  </si>
  <si>
    <t xml:space="preserve">💡 If YTM &gt; coupon → discount; YTM &lt; coupon → premium</t>
  </si>
  <si>
    <t xml:space="preserve">Flat yield curve</t>
  </si>
  <si>
    <t xml:space="preserve">All maturities yield the same</t>
  </si>
  <si>
    <t xml:space="preserve">💡 Used for duration approximation problems</t>
  </si>
  <si>
    <t xml:space="preserve">SIGN CONVENTIONS &amp; COMMON TRAPS</t>
  </si>
  <si>
    <t xml:space="preserve">⚠️ Semi-annual rate → annual</t>
  </si>
  <si>
    <t xml:space="preserve">Multiply periodic YTM by 2 (not compound)</t>
  </si>
  <si>
    <t xml:space="preserve">y_annual = 2 × y_semi_period</t>
  </si>
  <si>
    <t xml:space="preserve">⚠️ Coupon per period</t>
  </si>
  <si>
    <t xml:space="preserve">→ annual coupon rate × par / periods_per_year</t>
  </si>
  <si>
    <t xml:space="preserve">e.g. 3% annual, semi = 1.5 per period</t>
  </si>
  <si>
    <t xml:space="preserve">⚠️ Duration units</t>
  </si>
  <si>
    <t xml:space="preserve">MacD in YEARS (not periods)</t>
  </si>
  <si>
    <t xml:space="preserve">Divide period-MacD by periods/yr</t>
  </si>
  <si>
    <t xml:space="preserve">⚠️ ModD formula</t>
  </si>
  <si>
    <t xml:space="preserve">ModD = MacD / (1 + y/2) for semi-annual</t>
  </si>
  <si>
    <t xml:space="preserve">NOT MacD / (1+y)</t>
  </si>
  <si>
    <t xml:space="preserve">⚠️ ΔP approximation</t>
  </si>
  <si>
    <t xml:space="preserve">Δy in DECIMAL (0.01 not 1%)</t>
  </si>
  <si>
    <t xml:space="preserve">⚠️ STRIP yield solve</t>
  </si>
  <si>
    <t xml:space="preserve">y = 2×[(Par/Price)^(1/(2T)) − 1]</t>
  </si>
  <si>
    <t xml:space="preserve">T in years; multiply by 2 for annual</t>
  </si>
  <si>
    <t xml:space="preserve">⚠️ Portfolio duration</t>
  </si>
  <si>
    <t xml:space="preserve">VALUE-weighted, not equal-weighted</t>
  </si>
  <si>
    <t xml:space="preserve">w_i = MV_i / total_MV</t>
  </si>
  <si>
    <t xml:space="preserve">⚠️ Hedge = short</t>
  </si>
  <si>
    <t xml:space="preserve">To immunize a long bond position, SHORT the hedge</t>
  </si>
  <si>
    <t xml:space="preserve">Hedge dollar amount is negative</t>
  </si>
  <si>
    <t xml:space="preserve">⚠️ FRN duration</t>
  </si>
  <si>
    <t xml:space="preserve">≈ 1 period / (1+y/m)</t>
  </si>
  <si>
    <t xml:space="preserve">Very small for semi-annual resets</t>
  </si>
  <si>
    <t xml:space="preserve">⚠️ Equity with leverage</t>
  </si>
  <si>
    <t xml:space="preserve">MoD_equity = MoD_assets × (A/E)</t>
  </si>
  <si>
    <t xml:space="preserve">Equity = Assets − Liabilities</t>
  </si>
  <si>
    <t xml:space="preserve">💵  BOND PRICING — Spot Rates | Flat YTM | YTM from Price | Zero-Coupon</t>
  </si>
  <si>
    <t xml:space="preserve">WHEN TO USE: Pricing a coupon bond (from spot rates or YTM), finding YTM given a price, or pricing/solving a STRIP/zero.
TYPICAL SIGNALS: 'compute the price', 'what is the YTM', 'zero coupon bond costs $X'
TYPICAL INPUTS: Face value, coupon rate, maturity, spot curve or flat YTM.  TYPICAL OUTPUT: Bond price or YTM.</t>
  </si>
  <si>
    <t xml:space="preserve">PART 1 — BOND INPUTS  (used in all sections below unless overridden)</t>
  </si>
  <si>
    <t xml:space="preserve">Face Value / Par ($)</t>
  </si>
  <si>
    <t xml:space="preserve">Exam default = $100</t>
  </si>
  <si>
    <t xml:space="preserve">Annual Coupon Rate (decimal)</t>
  </si>
  <si>
    <t xml:space="preserve">e.g. 3% coupon → enter 0.03</t>
  </si>
  <si>
    <t xml:space="preserve">Maturity (years)</t>
  </si>
  <si>
    <t xml:space="preserve">e.g. 2, 2.5, 10</t>
  </si>
  <si>
    <t xml:space="preserve">Periods per Year</t>
  </si>
  <si>
    <t xml:space="preserve">⚠️ EXAM DEFAULT = 2 (semi-annual)</t>
  </si>
  <si>
    <t xml:space="preserve">▶ Coupon per Period ($)</t>
  </si>
  <si>
    <t xml:space="preserve">▶ Total Periods (n)</t>
  </si>
  <si>
    <t xml:space="preserve">PART 2A — BOND PRICE FROM SPOT RATE CURVE  (enter up to 20 periods)</t>
  </si>
  <si>
    <t xml:space="preserve">Period</t>
  </si>
  <si>
    <t xml:space="preserve">Time (yrs)</t>
  </si>
  <si>
    <t xml:space="preserve">Spot Rate (annual)</t>
  </si>
  <si>
    <t xml:space="preserve">Discount Factor</t>
  </si>
  <si>
    <t xml:space="preserve">Cash Flow ($)</t>
  </si>
  <si>
    <t xml:space="preserve">PV of CF ($)</t>
  </si>
  <si>
    <t xml:space="preserve">💰 Bond Price (from spot rates)</t>
  </si>
  <si>
    <t xml:space="preserve">→ sum of PV(cf) for all periods</t>
  </si>
  <si>
    <t xml:space="preserve">PART 2B — BOND PRICE FROM FLAT YTM  (all maturities same yield)</t>
  </si>
  <si>
    <t xml:space="preserve">Annual YTM (semi-annual cpd)</t>
  </si>
  <si>
    <t xml:space="preserve">Enter flat YTM here (can differ from spot curve above)</t>
  </si>
  <si>
    <t xml:space="preserve">💰 Bond Price (from flat YTM)</t>
  </si>
  <si>
    <t xml:space="preserve">→ -PV(ytm/periods, n_periods, coupon_per_period, par)</t>
  </si>
  <si>
    <t xml:space="preserve">PART 3 — YTM FROM KNOWN MARKET PRICE  (uses Part 1 bond inputs)</t>
  </si>
  <si>
    <t xml:space="preserve">Market Price (observed)</t>
  </si>
  <si>
    <t xml:space="preserve">Enter the price you observe in the market</t>
  </si>
  <si>
    <t xml:space="preserve">💰 Implied YTM (annual, semi-cpd)</t>
  </si>
  <si>
    <t xml:space="preserve">→ RATE(nper, coupon_per_period, -price, par) × periods_per_year</t>
  </si>
  <si>
    <t xml:space="preserve">CHECK: Price at this YTM</t>
  </si>
  <si>
    <t xml:space="preserve">PART 4 — ZERO-COUPON BOND (STRIP) — Price from Yield</t>
  </si>
  <si>
    <t xml:space="preserve">Annual YTM (semi-cpd)</t>
  </si>
  <si>
    <t xml:space="preserve">💰 STRIP Price</t>
  </si>
  <si>
    <t xml:space="preserve">→ par / (1 + y/2)^(2t)    e.g. $100/(1+2.84%/2)^60</t>
  </si>
  <si>
    <t xml:space="preserve">PART 5 — IMPLIED YIELD FROM STRIP PRICE</t>
  </si>
  <si>
    <t xml:space="preserve">STRIP Market Price</t>
  </si>
  <si>
    <t xml:space="preserve">💰 Implied Annual YTM</t>
  </si>
  <si>
    <t xml:space="preserve">→ m × [ (Par/Price)^(1/(m×T)) − 1 ]   where m = periods/yr</t>
  </si>
  <si>
    <t xml:space="preserve">CHECK: STRIP Price at this yield</t>
  </si>
  <si>
    <t xml:space="preserve">⚠️  COMMON TRAPS</t>
  </si>
  <si>
    <t xml:space="preserve">1. Semi-annual compounding: discount factor = 1/(1+y/2)^(2T), NOT 1/(1+y)^T</t>
  </si>
  <si>
    <t xml:space="preserve">2. YTM from RATE(): RATE gives PERIODIC yield → multiply by periods/yr to annualize</t>
  </si>
  <si>
    <t xml:space="preserve">3. Premium/discount: coupon rate &gt; YTM → bond trades ABOVE par (premium); coupon &lt; YTM → BELOW par (discount)</t>
  </si>
  <si>
    <t xml:space="preserve">4. Coupon per period = annual_coupon × par / periods_per_year (NOT annual coupon / periods_per_year)</t>
  </si>
  <si>
    <t xml:space="preserve">5. STRIP implied yield: after solving, verify by plugging back: Price = Par/(1+y/2)^(2T)</t>
  </si>
  <si>
    <t xml:space="preserve">📏  DURATION — Macaulay | Modified | Price Sensitivity | Portfolio | Hedge</t>
  </si>
  <si>
    <t xml:space="preserve">WHEN TO USE: Finding MacD/ModD, estimating price changes, computing portfolio duration, sizing a hedge.
TYPICAL SIGNALS: 'compute duration', 'estimate new price if yields shift', 'what dollar position immunizes', 'portfolio MoD'
TYPICAL INPUTS: Bond inputs + YTM. OUTPUT: Duration, ΔP, hedge position.</t>
  </si>
  <si>
    <t xml:space="preserve">PART 1 — BOND INPUTS</t>
  </si>
  <si>
    <t xml:space="preserve">Par Value ($)</t>
  </si>
  <si>
    <t xml:space="preserve">Annual Coupon Rate</t>
  </si>
  <si>
    <t xml:space="preserve">PART 2 — DURATION TABLE  (Macaulay &amp; Modified Duration)</t>
  </si>
  <si>
    <t xml:space="preserve">Period (t)</t>
  </si>
  <si>
    <t xml:space="preserve">PV of CF</t>
  </si>
  <si>
    <t xml:space="preserve">Weight (w_t)</t>
  </si>
  <si>
    <t xml:space="preserve">t × w_t (yrs)</t>
  </si>
  <si>
    <t xml:space="preserve">💰 Bond Price (from YTM)</t>
  </si>
  <si>
    <t xml:space="preserve">SUM of PV column (C37) should equal -PV() formula (D37)</t>
  </si>
  <si>
    <t xml:space="preserve">PART 2 RESULTS — Duration</t>
  </si>
  <si>
    <t xml:space="preserve">📐 Macaulay Duration (semi-annual periods)</t>
  </si>
  <si>
    <t xml:space="preserve">→ σ(period × weight)  in PERIODS)</t>
  </si>
  <si>
    <t xml:space="preserve">📐 Macaulay Duration (years)</t>
  </si>
  <si>
    <t xml:space="preserve">→ macd_periods / periods_per_year</t>
  </si>
  <si>
    <t xml:space="preserve">📐 Modified Duration (years)</t>
  </si>
  <si>
    <t xml:space="preserve">→ macd_years / (1 + ytm / periods_per_year)</t>
  </si>
  <si>
    <t xml:space="preserve">PART 3 — PRICE SENSITIVITY ESTIMATE  (ΔP ≈ −ModD × P × Δy)</t>
  </si>
  <si>
    <t xml:space="preserve">Current YTM (annual)</t>
  </si>
  <si>
    <t xml:space="preserve">Yield Change Δy (e.g. +0.02 = +2%)</t>
  </si>
  <si>
    <t xml:space="preserve">Enter POSITIVE for rate increase, NEGATIVE for decrease</t>
  </si>
  <si>
    <t xml:space="preserve">New YTM</t>
  </si>
  <si>
    <t xml:space="preserve">Portfolio / Investment Value ($)</t>
  </si>
  <si>
    <t xml:space="preserve">Enter total $ invested (e.g. 100000000 = $100M)</t>
  </si>
  <si>
    <t xml:space="preserve">▶ % Price Change (estimate)</t>
  </si>
  <si>
    <t xml:space="preserve">→ −ModD × Δy</t>
  </si>
  <si>
    <t xml:space="preserve">▶ $ Price Change per $100 par</t>
  </si>
  <si>
    <t xml:space="preserve">▶ $ Change on Total Position</t>
  </si>
  <si>
    <t xml:space="preserve">▶ New Bond Price (estimated per $100 par)</t>
  </si>
  <si>
    <t xml:space="preserve">   Actual New Price (exact, per $100 par)</t>
  </si>
  <si>
    <t xml:space="preserve">   Error (estimate − actual)</t>
  </si>
  <si>
    <t xml:space="preserve">PART 4 — PORTFOLIO MODIFIED DURATION  (value-weighted)</t>
  </si>
  <si>
    <t xml:space="preserve">Bond / Position</t>
  </si>
  <si>
    <t xml:space="preserve">Market Value ($)</t>
  </si>
  <si>
    <t xml:space="preserve">Modified Duration (yrs)</t>
  </si>
  <si>
    <t xml:space="preserve">Value × ModD</t>
  </si>
  <si>
    <t xml:space="preserve">Weight</t>
  </si>
  <si>
    <t xml:space="preserve">Weighted ModD</t>
  </si>
  <si>
    <t xml:space="preserve">Bond 1</t>
  </si>
  <si>
    <t xml:space="preserve">Bond 2</t>
  </si>
  <si>
    <t xml:space="preserve">Bond 3</t>
  </si>
  <si>
    <t xml:space="preserve">Bond 4</t>
  </si>
  <si>
    <t xml:space="preserve">Bond 5</t>
  </si>
  <si>
    <t xml:space="preserve">TOTAL</t>
  </si>
  <si>
    <t xml:space="preserve">📐 Portfolio Modified Duration (yrs)</t>
  </si>
  <si>
    <t xml:space="preserve">→ σ(mv_i × ModD_i) / Σ MV_i)</t>
  </si>
  <si>
    <t xml:space="preserve">PART 5 — DURATION HEDGE  (find $ position to immunize)</t>
  </si>
  <si>
    <t xml:space="preserve">Long Position: Market Value ($)</t>
  </si>
  <si>
    <t xml:space="preserve">Long Position: Modified Duration (yrs)</t>
  </si>
  <si>
    <t xml:space="preserve">Enter your bond's ModD (from Part 2, or enter manually)</t>
  </si>
  <si>
    <t xml:space="preserve">Hedge Instrument: Modified Duration (yrs)</t>
  </si>
  <si>
    <t xml:space="preserve">▶ Required Hedge $ Position</t>
  </si>
  <si>
    <t xml:space="preserve">Negative = SHORT position in hedge instrument. |$ amount| = V_long×ModD_long / ModD_hedge</t>
  </si>
  <si>
    <t xml:space="preserve">▶ Hedge Check (should = 0 if immunized)</t>
  </si>
  <si>
    <t xml:space="preserve">📊  SPOT RATES | FORWARD RATES | DISCOUNT FACTORS</t>
  </si>
  <si>
    <t xml:space="preserve">WHEN TO USE: Extract spot rates from STRIP prices; compute forward rates; build discount factor table.
SIGNALS: 'spot rate curve', 'forward rate from year t1 to t2', 'discount factor', 'STRIP prices given'</t>
  </si>
  <si>
    <t xml:space="preserve">PART 1 — SPOT RATES FROM STRIP PRICES  (enter STRIP prices)</t>
  </si>
  <si>
    <t xml:space="preserve">Maturity (yrs)</t>
  </si>
  <si>
    <t xml:space="preserve">STRIP Price ($)</t>
  </si>
  <si>
    <t xml:space="preserve">Par ($)</t>
  </si>
  <si>
    <t xml:space="preserve">Check: Price</t>
  </si>
  <si>
    <t xml:space="preserve">PART 2 — FORWARD RATES FROM SPOT RATES  (enter two spot rates)</t>
  </si>
  <si>
    <t xml:space="preserve">Forward rate f(t1→t2): rate locked in today for a loan from year t1 to t2.
Formula: (1+f/2)^(2(t2-t1)) = (1+s2/2)^(2t2) / (1+s1/2)^(2t1)</t>
  </si>
  <si>
    <t xml:space="preserve">t1: near maturity (yrs)</t>
  </si>
  <si>
    <t xml:space="preserve">s1: spot rate at t1</t>
  </si>
  <si>
    <t xml:space="preserve">t2: far maturity (yrs)</t>
  </si>
  <si>
    <t xml:space="preserve">s2: spot rate at t2</t>
  </si>
  <si>
    <t xml:space="preserve">▶ Forward Rate f(t1→t2) — annual, semi-cpd</t>
  </si>
  <si>
    <t xml:space="preserve">→ 2 × [ (DF_t1/DF_t2)^(1/(2·(t2-t1))) − 1 ]</t>
  </si>
  <si>
    <t xml:space="preserve">PART 3 — CONSECUTIVE SEMI-ANNUAL FORWARD RATES  (from Part 1 spot curve)</t>
  </si>
  <si>
    <t xml:space="preserve">Each forward rate f(t-0.5→t) is the 6-month rate implied between adjacent spot rates. Reads directly from Part 1.</t>
  </si>
  <si>
    <t xml:space="preserve">From (yrs)</t>
  </si>
  <si>
    <t xml:space="preserve">To (yrs)</t>
  </si>
  <si>
    <t xml:space="preserve">Spot at t-0.5</t>
  </si>
  <si>
    <t xml:space="preserve">Spot at t</t>
  </si>
  <si>
    <t xml:space="preserve">Forward Rate f</t>
  </si>
  <si>
    <t xml:space="preserve">Interpretation</t>
  </si>
  <si>
    <t xml:space="preserve">PART 4 — DISCOUNT FACTOR TABLE  (from Part 1 spot curve)</t>
  </si>
  <si>
    <t xml:space="preserve">🛡️  IMMUNIZATION — Cash+Zero | Bank Duration Gap | Liability Duration</t>
  </si>
  <si>
    <t xml:space="preserve">WHEN TO USE: Matching asset duration to liability duration to eliminate interest rate risk.
SIGNALS: 'immunize', 'hedge interest rate risk', 'bank equity change', 'pension fund', 'duration match'</t>
  </si>
  <si>
    <t xml:space="preserve">PART 1 — IMMUNIZE WITH CASH + ZERO-COUPON BOND</t>
  </si>
  <si>
    <t xml:space="preserve">Concept: Cash has duration=0; a zero-coupon bond's MacD = its maturity.
To immunize: choose weights so that asset duration = liability duration.
w_zero = D_liab / T_zero  |  w_cash = 1 - w_zero  |  Check: total_PV_assets = PV_liabilities</t>
  </si>
  <si>
    <t xml:space="preserve">Total PV of Liabilities ($)</t>
  </si>
  <si>
    <t xml:space="preserve">Macaulay Duration of Liabilities (yrs)</t>
  </si>
  <si>
    <t xml:space="preserve">Zero-Coupon Bond Maturity (yrs)</t>
  </si>
  <si>
    <t xml:space="preserve">Annual Discount Rate (flat)</t>
  </si>
  <si>
    <t xml:space="preserve">Zero Bond Price (per $1 par)</t>
  </si>
  <si>
    <t xml:space="preserve">▶ Weight in Zero (w_zero)</t>
  </si>
  <si>
    <t xml:space="preserve">→ d_liab / t_zero</t>
  </si>
  <si>
    <t xml:space="preserve">▶ Weight in Cash (w_cash)</t>
  </si>
  <si>
    <t xml:space="preserve">▶ $ Invested in Zero-Coupon Bond</t>
  </si>
  <si>
    <t xml:space="preserve">▶ $ Invested in Cash</t>
  </si>
  <si>
    <t xml:space="preserve">CHECK: Asset Duration = Liability Duration?</t>
  </si>
  <si>
    <t xml:space="preserve">PART 2 — BANK BALANCE SHEET / EQUITY EXPOSURE  (ΔEquity from rate shift)</t>
  </si>
  <si>
    <t xml:space="preserve">Formula: ΔE ≈ −(ModD_A × MV_A − ModD_L × MV_L) × Δy
Equity = Assets − Liabilities. Long assets, short liabilities → net exposure.</t>
  </si>
  <si>
    <t xml:space="preserve">Asset Market Value ($)</t>
  </si>
  <si>
    <t xml:space="preserve">Asset Modified Duration (yrs)</t>
  </si>
  <si>
    <t xml:space="preserve">Liability Market Value ($)</t>
  </si>
  <si>
    <t xml:space="preserve">Liability Modified Duration (yrs)</t>
  </si>
  <si>
    <t xml:space="preserve">Yield Change Δy (e.g. 0.01 = +1%)</t>
  </si>
  <si>
    <t xml:space="preserve">Equity (Assets − Liabilities)</t>
  </si>
  <si>
    <t xml:space="preserve">Dollar Duration of Assets (ModD_A × MV_A)</t>
  </si>
  <si>
    <t xml:space="preserve">Dollar Duration of Liabilities (ModD_L × MV_L)</t>
  </si>
  <si>
    <t xml:space="preserve">Net Dollar Duration (Assets − Liabilities)</t>
  </si>
  <si>
    <t xml:space="preserve">▶ ΔEquity ($) for given Δy</t>
  </si>
  <si>
    <t xml:space="preserve">→ −(DollarDur_A − DollarDur_L) × Δy</t>
  </si>
  <si>
    <t xml:space="preserve">▶ ΔEquity as % of current Equity</t>
  </si>
  <si>
    <t xml:space="preserve">PART 3 — LIABILITY STREAM DURATION  (enter future obligation cash flows)</t>
  </si>
  <si>
    <t xml:space="preserve">Enter pension / insurance liability cash flows. Model computes PV and Macaulay duration.</t>
  </si>
  <si>
    <t xml:space="preserve">Period #</t>
  </si>
  <si>
    <t xml:space="preserve">Payment ($)</t>
  </si>
  <si>
    <t xml:space="preserve">PV of Payment</t>
  </si>
  <si>
    <t xml:space="preserve">Weight (w)</t>
  </si>
  <si>
    <t xml:space="preserve">t × w (yrs)</t>
  </si>
  <si>
    <t xml:space="preserve">Total PV of Liabilities</t>
  </si>
  <si>
    <t xml:space="preserve">📐 Macaulay Duration of Liabilities (yrs)</t>
  </si>
  <si>
    <t xml:space="preserve">→ σ(time_t × weight_t) in years)</t>
  </si>
  <si>
    <t xml:space="preserve">💹  CREDIT &amp; DEFAULT RISK | CREDIT SPREAD | FLOATING RATE NOTE</t>
  </si>
  <si>
    <t xml:space="preserve">WHEN TO USE: Defaultable bonds (expected return), credit spreads, floating rate note duration.
SIGNALS: 'corporate bond defaults', 'recovery rate', 'floating rate note', 'FRN', 'benchmark rate + margin'</t>
  </si>
  <si>
    <t xml:space="preserve">PART 1 — DEFAULTABLE BOND — Expected Return  (1-year zero-coupon)</t>
  </si>
  <si>
    <t xml:space="preserve">For a 1-year zero-coupon bond: E[CF] = (1−PD)×Par + PD×RR×Par
E[R] = E[CF] / Price − 1   (annual return, no coupons)
Note: E[R] ≠ YTM because YTM ignores default probability.</t>
  </si>
  <si>
    <t xml:space="preserve">Bond Price Today ($)</t>
  </si>
  <si>
    <t xml:space="preserve">Market price you pay today</t>
  </si>
  <si>
    <t xml:space="preserve">Par Value / Face Value ($)</t>
  </si>
  <si>
    <t xml:space="preserve">Probability of Default (PD)</t>
  </si>
  <si>
    <t xml:space="preserve">Prob that issuer defaults before maturity</t>
  </si>
  <si>
    <t xml:space="preserve">Recovery Rate (RR, cents per $1 par)</t>
  </si>
  <si>
    <t xml:space="preserve">If default: receive RR × par  (e.g. 0.70 = 70 cents/$1)</t>
  </si>
  <si>
    <t xml:space="preserve">Expected Cash Flow: E[CF]</t>
  </si>
  <si>
    <t xml:space="preserve">→ (1−PD)×Par + PD×RR×Par = Par×[1 − PD×(1−RR)])</t>
  </si>
  <si>
    <t xml:space="preserve">▶ Expected Annual Return E[R]</t>
  </si>
  <si>
    <t xml:space="preserve">→ e[cf] / price − 1</t>
  </si>
  <si>
    <t xml:space="preserve">YTM (yield if no default)</t>
  </si>
  <si>
    <t xml:space="preserve">→ par/price − 1  (1-year zero, no default assumed)</t>
  </si>
  <si>
    <t xml:space="preserve">▶ Expected Loss Rate (YTM − E[R])</t>
  </si>
  <si>
    <t xml:space="preserve">PD × (1−RR) ≈ expected annual loss on the bond</t>
  </si>
  <si>
    <t xml:space="preserve">▶ Premium over Risk-Free (if Rf entered)</t>
  </si>
  <si>
    <t xml:space="preserve">Risk-Free Rate →  Credit Spread =</t>
  </si>
  <si>
    <t xml:space="preserve">PART 2 — CREDIT SPREAD CALCULATOR</t>
  </si>
  <si>
    <t xml:space="preserve">Risky Bond Yield (e.g. corporate)</t>
  </si>
  <si>
    <t xml:space="preserve">Risk-Free Yield (e.g. Treasury, same maturity)</t>
  </si>
  <si>
    <t xml:space="preserve">▶ Credit Spread (decimal)</t>
  </si>
  <si>
    <t xml:space="preserve">▶ Credit Spread (basis points)</t>
  </si>
  <si>
    <t xml:space="preserve">1 basis point = 0.01% = 0.0001</t>
  </si>
  <si>
    <t xml:space="preserve">PART 3 — FLOATING RATE NOTE (FRN) — Duration &amp; Coupon</t>
  </si>
  <si>
    <t xml:space="preserve">An FRN resets its coupon to benchmark + spread at each payment date.
Right after reset: bond value ≈ par.  Modified duration ≈ 1 period / (1 + total_rate/m).
Key insight: FRN has VERY SHORT duration despite long maturity — like a 1-period fixed bond.</t>
  </si>
  <si>
    <t xml:space="preserve">Benchmark Rate (e.g. SOFR, 3-month T-bill)</t>
  </si>
  <si>
    <t xml:space="preserve">Spread / Margin above benchmark</t>
  </si>
  <si>
    <t xml:space="preserve">Periods per Year (resets)</t>
  </si>
  <si>
    <t xml:space="preserve">Total Maturity (yrs) — for info only</t>
  </si>
  <si>
    <t xml:space="preserve">Total Coupon Rate (benchmark + spread)</t>
  </si>
  <si>
    <t xml:space="preserve">▶ Next Coupon Payment ($)</t>
  </si>
  <si>
    <t xml:space="preserve">→ par × (benchmark + spread) / periods_per_year</t>
  </si>
  <si>
    <t xml:space="preserve">▶ Modified Duration (yrs) — just-reset FRN</t>
  </si>
  <si>
    <t xml:space="preserve">≈ (1/m) / (1 + total_rate/m) — very small despite long maturity!</t>
  </si>
  <si>
    <t xml:space="preserve">▶ Macaulay Duration (yrs)</t>
  </si>
  <si>
    <t xml:space="preserve">MacD = ModD × (1 + y/m) = 1/m (just 1 payment period)</t>
  </si>
  <si>
    <t xml:space="preserve">If benchmark changes by −1%, approximate % change in FRN value</t>
  </si>
  <si>
    <t xml:space="preserve">Very small — FRN value barely changes when rates move</t>
  </si>
  <si>
    <t xml:space="preserve">📅  TVM — PV | FV | Annuity | Perpetuity | T-bill vs STRIPS Rollover</t>
  </si>
  <si>
    <t xml:space="preserve">WHEN TO USE: Any time value of money calculation — saving for college, loan payments, investment comparison.
SIGNALS: 'present value', 'future value', 'annuity', 'perpetuity', 'invest $X at rate r for n years'</t>
  </si>
  <si>
    <t xml:space="preserve">PART 1 — PV OF LUMP SUM  (P = FV / (1+r)^n)</t>
  </si>
  <si>
    <t xml:space="preserve">Future Value (FV)</t>
  </si>
  <si>
    <t xml:space="preserve">Rate per Period (r)</t>
  </si>
  <si>
    <t xml:space="preserve">Number of Periods (n)</t>
  </si>
  <si>
    <t xml:space="preserve">▶ Present Value</t>
  </si>
  <si>
    <t xml:space="preserve">PART 2 — FV OF LUMP SUM  (FV = PV × (1+r)^n)</t>
  </si>
  <si>
    <t xml:space="preserve">Present Value (PV)</t>
  </si>
  <si>
    <t xml:space="preserve">▶ Future Value</t>
  </si>
  <si>
    <t xml:space="preserve">PART 3 — PV OF ANNUITY  (P = PMT × [1−(1+r)^-n] / r)</t>
  </si>
  <si>
    <t xml:space="preserve">Payment per Period (PMT)</t>
  </si>
  <si>
    <t xml:space="preserve">PART 4 — FV OF ANNUITY  (FV = PMT × [(1+r)^n − 1] / r)</t>
  </si>
  <si>
    <t xml:space="preserve">PART 5 — PV OF PERPETUITY  (P = PMT / r)</t>
  </si>
  <si>
    <t xml:space="preserve">PART 6 — PV OF GROWING PERPETUITY / DDM  (P = D1 / (k−g))</t>
  </si>
  <si>
    <t xml:space="preserve">D0 (last dividend paid)</t>
  </si>
  <si>
    <t xml:space="preserve">k: required return (discount rate)</t>
  </si>
  <si>
    <t xml:space="preserve">g: constant growth rate</t>
  </si>
  <si>
    <t xml:space="preserve">▶ Price P0 = D1/(k−g)</t>
  </si>
  <si>
    <t xml:space="preserve">PART 7 — T-BILL ROLLOVER vs STRIPS BUY-AND-HOLD  (reinvestment risk)</t>
  </si>
  <si>
    <t xml:space="preserve">BUY-AND-HOLD (STRIPS): Invest in n-year zero today. Terminal value is certain.
ROLLOVER (T-bills): Invest in short-term bills, reinvest each year. Terminal value depends on future rates.
Key insight: STRIPS lock in the rate; T-bill rollover exposes you to reinvestment risk.</t>
  </si>
  <si>
    <t xml:space="preserve">Initial Investment ($)</t>
  </si>
  <si>
    <t xml:space="preserve">Target Horizon (years)</t>
  </si>
  <si>
    <t xml:space="preserve">STRIPS Yield (annual, semi-cpd)</t>
  </si>
  <si>
    <t xml:space="preserve">Year 0 T-bill Yield (annual)</t>
  </si>
  <si>
    <t xml:space="preserve">Scenario: recession → Fed cuts</t>
  </si>
  <si>
    <t xml:space="preserve">Future T-bill Yield (years 1 onward)</t>
  </si>
  <si>
    <t xml:space="preserve">Rate prevailing in years 1-5 after rate change</t>
  </si>
  <si>
    <t xml:space="preserve">💰 STRIPS Terminal Value (Year 5)</t>
  </si>
  <si>
    <t xml:space="preserve">→ initial × (1+yield/2)^(2×horizon) — locked in!</t>
  </si>
  <si>
    <t xml:space="preserve">💰 T-bill Rollover: Yr0 at C47, then Yrs1-5 at C48</t>
  </si>
  <si>
    <t xml:space="preserve">→ initial × (1+r_0) × (1+r_future)^(n-1)  [annual compounding]</t>
  </si>
  <si>
    <t xml:space="preserve">Better Strategy?</t>
  </si>
  <si>
    <t xml:space="preserve">⚖️  LEVERAGE &amp; EQUITY RETURNS — Maria's Decision Style</t>
  </si>
  <si>
    <t xml:space="preserve">WHEN TO USE: Borrowing to invest, computing equity return with leverage.
FORMULA: E[R_equity] = E[R_asset] + (D/E) × (E[R_asset] − r_debt)
INSIGHT: Leverage amplifies BOTH expected return AND volatility symmetrically.</t>
  </si>
  <si>
    <t xml:space="preserve">PART 1 — INPUTS: Asset &amp; Financing</t>
  </si>
  <si>
    <t xml:space="preserve">Asset Return — UP scenario</t>
  </si>
  <si>
    <t xml:space="preserve">Asset Return — DOWN scenario</t>
  </si>
  <si>
    <t xml:space="preserve">Probability of UP scenario</t>
  </si>
  <si>
    <t xml:space="preserve">Debt Interest Rate (r_debt)</t>
  </si>
  <si>
    <t xml:space="preserve">Total Investment ($, assets purchased)</t>
  </si>
  <si>
    <t xml:space="preserve">Equity (own money, $)</t>
  </si>
  <si>
    <t xml:space="preserve">Debt Borrowed ($)</t>
  </si>
  <si>
    <t xml:space="preserve">Leverage Ratio (D/E)</t>
  </si>
  <si>
    <t xml:space="preserve">PART 2 — PAYOFFS &amp; RETURNS</t>
  </si>
  <si>
    <t xml:space="preserve">Scenario</t>
  </si>
  <si>
    <t xml:space="preserve">No Leverage</t>
  </si>
  <si>
    <t xml:space="preserve">With Leverage</t>
  </si>
  <si>
    <t xml:space="preserve">Asset payoff UP</t>
  </si>
  <si>
    <t xml:space="preserve">Asset payoff DOWN</t>
  </si>
  <si>
    <t xml:space="preserve">Debt repayment</t>
  </si>
  <si>
    <t xml:space="preserve">Equity payoff UP</t>
  </si>
  <si>
    <t xml:space="preserve">Equity payoff DOWN</t>
  </si>
  <si>
    <t xml:space="preserve">E[Equity payoff]</t>
  </si>
  <si>
    <t xml:space="preserve">PART 3 — RETURNS ON EQUITY</t>
  </si>
  <si>
    <t xml:space="preserve">Metric</t>
  </si>
  <si>
    <t xml:space="preserve">Return UP  = Payoff_UP/Equity − 1</t>
  </si>
  <si>
    <t xml:space="preserve">Return DOWN = Payoff_DOWN/Equity − 1</t>
  </si>
  <si>
    <t xml:space="preserve">Expected Return E[R_equity]</t>
  </si>
  <si>
    <t xml:space="preserve">Volatility σ (std dev)</t>
  </si>
  <si>
    <t xml:space="preserve">PART 4 — KEY RELATIONSHIP CHECK</t>
  </si>
  <si>
    <t xml:space="preserve">E[R_asset]</t>
  </si>
  <si>
    <t xml:space="preserve">Formula: E[R_eq] = E[R_asset] + D/E×(E[R_asset]−r_debt)</t>
  </si>
  <si>
    <t xml:space="preserve">🔀  PORTFOLIO THEORY — 2-Asset | 3-Asset | Sharpe Ratio</t>
  </si>
  <si>
    <t xml:space="preserve">WHEN TO USE: Computing portfolio expected return, variance, and Sharpe ratio for 2 or 3 assets.
SIGNALS: 'portfolio return', 'portfolio volatility', 'correlation', 'Sharpe ratio'
FORMULA: E[Rp]=Σwi·E[Ri]; Var_p=w1²σ1²+w2²σ2²+2w1w2ρ12σ1σ2; Sharpe=(E[Rp]−Rf)/σp</t>
  </si>
  <si>
    <t xml:space="preserve">PART 1 — 2-ASSET PORTFOLIO</t>
  </si>
  <si>
    <t xml:space="preserve">Asset 1</t>
  </si>
  <si>
    <t xml:space="preserve">Asset 2</t>
  </si>
  <si>
    <t xml:space="preserve">Portfolio</t>
  </si>
  <si>
    <t xml:space="preserve">Expected Return E[R]</t>
  </si>
  <si>
    <t xml:space="preserve">Volatility (σ)</t>
  </si>
  <si>
    <t xml:space="preserve">Correlation (ρ12)</t>
  </si>
  <si>
    <t xml:space="preserve">Covariance σ12 = ρ×σ1×σ2</t>
  </si>
  <si>
    <t xml:space="preserve">→ ρ12 × σ1 × σ2</t>
  </si>
  <si>
    <t xml:space="preserve">Risk-Free Rate (Rf)</t>
  </si>
  <si>
    <t xml:space="preserve">▶ Portfolio E[R]</t>
  </si>
  <si>
    <t xml:space="preserve">▶ Portfolio Variance</t>
  </si>
  <si>
    <t xml:space="preserve">▶ Portfolio σ</t>
  </si>
  <si>
    <t xml:space="preserve">▶ Sharpe Ratio</t>
  </si>
  <si>
    <t xml:space="preserve">PART 2 — 3-ASSET PORTFOLIO</t>
  </si>
  <si>
    <t xml:space="preserve">Asset 3</t>
  </si>
  <si>
    <t xml:space="preserve">E[R]</t>
  </si>
  <si>
    <t xml:space="preserve">σ</t>
  </si>
  <si>
    <t xml:space="preserve">Weight w</t>
  </si>
  <si>
    <t xml:space="preserve">ρ12</t>
  </si>
  <si>
    <t xml:space="preserve">ρ13</t>
  </si>
  <si>
    <t xml:space="preserve">ρ23</t>
  </si>
  <si>
    <t xml:space="preserve">Cov12</t>
  </si>
  <si>
    <t xml:space="preserve">Cov13</t>
  </si>
  <si>
    <t xml:space="preserve">Cov23</t>
  </si>
  <si>
    <t xml:space="preserve">🎯  MVE / TANGENCY PORTFOLIO | COMPLETE PORTFOLIO | CAPM | DDM</t>
  </si>
  <si>
    <t xml:space="preserve">WHEN TO USE: Finding optimal risky portfolio weights, allocating to risk-free, computing CAPM required return.
SIGNALS: 'optimal portfolio', 'tangency', 'MVE', 'CAPM', 'beta', 'SML', 'implied growth rate', 'required return'</t>
  </si>
  <si>
    <t xml:space="preserve">PART 1 — 2-ASSET MVE (TANGENCY) PORTFOLIO  [closed-form formula]</t>
  </si>
  <si>
    <t xml:space="preserve">Parameter</t>
  </si>
  <si>
    <t xml:space="preserve">Covariance σ12</t>
  </si>
  <si>
    <t xml:space="preserve">Excess Return 1 (α1=E[R1]−Rf)</t>
  </si>
  <si>
    <t xml:space="preserve">Excess Return 2 (α2=E[R2]−Rf)</t>
  </si>
  <si>
    <t xml:space="preserve">▶ w1* (MVE weight Asset 1)</t>
  </si>
  <si>
    <t xml:space="preserve">→ (α1·σ2²−α2·σ12) / (α1·σ2²+α2·σ1²−(α1+α2)·σ12))</t>
  </si>
  <si>
    <t xml:space="preserve">▶ w2* (MVE weight Asset 2)</t>
  </si>
  <si>
    <t xml:space="preserve">MVE PORTFOLIO STATS</t>
  </si>
  <si>
    <t xml:space="preserve">MVE E[R]</t>
  </si>
  <si>
    <t xml:space="preserve">MVE Variance</t>
  </si>
  <si>
    <t xml:space="preserve">MVE Volatility (σ*)</t>
  </si>
  <si>
    <t xml:space="preserve">MVE Sharpe Ratio</t>
  </si>
  <si>
    <t xml:space="preserve">PART 2 — COMPLETE PORTFOLIO  (MVE + Risk-Free Asset)</t>
  </si>
  <si>
    <t xml:space="preserve">y* = Sharpe_MVE / (A × σ_MVE)   where A = risk aversion coefficient (typical: 2−4)</t>
  </si>
  <si>
    <t xml:space="preserve">Risk Aversion (A)</t>
  </si>
  <si>
    <t xml:space="preserve">▶ y* = weight on MVE portfolio</t>
  </si>
  <si>
    <t xml:space="preserve">→ sharpe_mve / (a × Var_MVE) = E[R_MVE−Rf] / (A × σ²_MVE))</t>
  </si>
  <si>
    <t xml:space="preserve">Weight on Risk-Free</t>
  </si>
  <si>
    <t xml:space="preserve">Complete Portfolio E[R]</t>
  </si>
  <si>
    <t xml:space="preserve">Complete Portfolio σ</t>
  </si>
  <si>
    <t xml:space="preserve">Utility U = E[R] − A/2×Var</t>
  </si>
  <si>
    <t xml:space="preserve">Overall w1 (incl. Rf fraction)</t>
  </si>
  <si>
    <t xml:space="preserve">Overall w2 (incl. Rf fraction)</t>
  </si>
  <si>
    <t xml:space="preserve">PART 3 — CAPM / SECURITY MARKET LINE</t>
  </si>
  <si>
    <t xml:space="preserve">E[Ri] = Rf + β × (E[Rm] − Rf)   |   β = ρim × σi/σm = Cov(Ri,Rm)/Var(Rm)</t>
  </si>
  <si>
    <t xml:space="preserve">Enter CAPM parameters</t>
  </si>
  <si>
    <t xml:space="preserve">Market E[Rm]</t>
  </si>
  <si>
    <t xml:space="preserve">Market Volatility (σm)</t>
  </si>
  <si>
    <t xml:space="preserve">Asset i: Beta (β)</t>
  </si>
  <si>
    <t xml:space="preserve">▶ CAPM Required Return</t>
  </si>
  <si>
    <t xml:space="preserve">→ rf + β×(E[Rm]−Rf)</t>
  </si>
  <si>
    <t xml:space="preserve">Market Risk Premium</t>
  </si>
  <si>
    <t xml:space="preserve">β from (ρim, σi, σm)</t>
  </si>
  <si>
    <t xml:space="preserve">Asset corr w/market:</t>
  </si>
  <si>
    <t xml:space="preserve">Asset σ:</t>
  </si>
  <si>
    <t xml:space="preserve">ρim, σi →</t>
  </si>
  <si>
    <t xml:space="preserve">→ ρim × σi / σm</t>
  </si>
  <si>
    <t xml:space="preserve">PART 4 — GORDON GROWTH MODEL (DDM)</t>
  </si>
  <si>
    <t xml:space="preserve">k: required return</t>
  </si>
  <si>
    <t xml:space="preserve">g: growth rate</t>
  </si>
  <si>
    <t xml:space="preserve">D1 = D0×(1+g)</t>
  </si>
  <si>
    <t xml:space="preserve">Solve for IMPLIED g (given P0, k, D0)</t>
  </si>
  <si>
    <t xml:space="preserve">Observed Price →  Implied g =</t>
  </si>
  <si>
    <t xml:space="preserve">⚠️ For exact g via Solver: set P0 formula = observed price by changing g</t>
  </si>
  <si>
    <t xml:space="preserve">📐  FORMULA REFERENCE — Key Formulas for B8306 Capital Markets</t>
  </si>
  <si>
    <t xml:space="preserve">BOND PRICING</t>
  </si>
  <si>
    <t xml:space="preserve">Bond price (spot rates)</t>
  </si>
  <si>
    <t xml:space="preserve">P = Σ_t  CF_t / (1+s_t/2)^(2t)    [semi-annual cpd]</t>
  </si>
  <si>
    <t xml:space="preserve">Bond price (flat YTM)</t>
  </si>
  <si>
    <t xml:space="preserve">P = –PV(y/m, n, coupon_period, par)    OR    P = Σ CF_t/(1+y/2)^t</t>
  </si>
  <si>
    <t xml:space="preserve">Zero-coupon / STRIP</t>
  </si>
  <si>
    <t xml:space="preserve">P = Par / (1+y/2)^(2T)</t>
  </si>
  <si>
    <t xml:space="preserve">YTM from price</t>
  </si>
  <si>
    <t xml:space="preserve">Solve: P = Σ CF_t/(1+y/2)^t  →  use RATE(n, cpn, -P, par)×m</t>
  </si>
  <si>
    <t xml:space="preserve">STRIP yield from price</t>
  </si>
  <si>
    <t xml:space="preserve">y = m × [(Par/P)^(1/(m×T)) − 1]    where m = periods/yr</t>
  </si>
  <si>
    <t xml:space="preserve">Par bond condition</t>
  </si>
  <si>
    <t xml:space="preserve">Coupon rate = YTM  →  P = par</t>
  </si>
  <si>
    <t xml:space="preserve">Premium/discount</t>
  </si>
  <si>
    <t xml:space="preserve">YTM &lt; coupon → P &gt; par (premium); YTM &gt; coupon → P &lt; par (discount)</t>
  </si>
  <si>
    <t xml:space="preserve">DISCOUNT FACTORS &amp; SPOT RATES</t>
  </si>
  <si>
    <t xml:space="preserve">Discount factor (spot)</t>
  </si>
  <si>
    <t xml:space="preserve">DF(T) = 1/(1+s_T/2)^(2T)</t>
  </si>
  <si>
    <t xml:space="preserve">Spot from STRIP</t>
  </si>
  <si>
    <t xml:space="preserve">s_T = 2×[(Par/P_T)^(1/(2T)) − 1]</t>
  </si>
  <si>
    <t xml:space="preserve">f = 2×[(DF_t1/DF_t2)^(1/(2(t2-t1))) − 1]</t>
  </si>
  <si>
    <t xml:space="preserve">No-arbitrage relation</t>
  </si>
  <si>
    <t xml:space="preserve">(1+s1/2)^(2t1) × (1+f/2)^(2(t2-t1)) = (1+s2/2)^(2t2)</t>
  </si>
  <si>
    <t xml:space="preserve">DURATION</t>
  </si>
  <si>
    <t xml:space="preserve">Macaulay Duration</t>
  </si>
  <si>
    <t xml:space="preserve">MacD = Σ_t (t_yrs × w_t)    where w_t = PV(CF_t)/P</t>
  </si>
  <si>
    <t xml:space="preserve">Modified Duration</t>
  </si>
  <si>
    <t xml:space="preserve">ModD = MacD / (1 + y/m)    where m = periods per year</t>
  </si>
  <si>
    <t xml:space="preserve">Price change approx.</t>
  </si>
  <si>
    <t xml:space="preserve">ΔP/P ≈ −ModD × Δy    →    ΔP ≈ −ModD × P × Δy</t>
  </si>
  <si>
    <t xml:space="preserve">Zero-coupon MacD</t>
  </si>
  <si>
    <t xml:space="preserve">MacD = T (maturity)    [exact, since single CF at T]</t>
  </si>
  <si>
    <t xml:space="preserve">Floating rate note ModD</t>
  </si>
  <si>
    <t xml:space="preserve">ModD ≈ (1/m)/(1+y/m)    [very small, reprices at reset]</t>
  </si>
  <si>
    <t xml:space="preserve">Portfolio ModD</t>
  </si>
  <si>
    <t xml:space="preserve">ModD_p = Σ (V_i × ModD_i) / Σ V_i    [value-weighted]</t>
  </si>
  <si>
    <t xml:space="preserve">IMMUNIZATION &amp; HEDGING</t>
  </si>
  <si>
    <t xml:space="preserve">Cash + Zero match</t>
  </si>
  <si>
    <t xml:space="preserve">w_zero = D_liab / T_zero    ;    w_cash = 1 − w_zero</t>
  </si>
  <si>
    <t xml:space="preserve">Hedge position ($)</t>
  </si>
  <si>
    <t xml:space="preserve">Hedge $ = −(V_long × ModD_long) / ModD_hedge    [negative = short]</t>
  </si>
  <si>
    <t xml:space="preserve">Bank equity exposure</t>
  </si>
  <si>
    <t xml:space="preserve">ΔE ≈ −(ModD_A × V_A − ModD_L × V_L) × Δy</t>
  </si>
  <si>
    <t xml:space="preserve">Duration gap</t>
  </si>
  <si>
    <t xml:space="preserve">DGap = ModD_A − (V_L/V_A)×ModD_L    [positive → rates hurt equity]</t>
  </si>
  <si>
    <t xml:space="preserve">CREDIT &amp; FLOATERS</t>
  </si>
  <si>
    <t xml:space="preserve">Expected CF (1-yr zero)</t>
  </si>
  <si>
    <t xml:space="preserve">E[CF] = (1−PD)×Par + PD×RR×Par = Par×[1−PD(1−RR)]</t>
  </si>
  <si>
    <t xml:space="preserve">Expected return</t>
  </si>
  <si>
    <t xml:space="preserve">E[R] = E[CF]/Price − 1    [annual, 1-year bond]</t>
  </si>
  <si>
    <t xml:space="preserve">Credit spread</t>
  </si>
  <si>
    <t xml:space="preserve">Spread = yield_risky − yield_riskfree    [in basis pts × 10000]</t>
  </si>
  <si>
    <t xml:space="preserve">Approx. spread</t>
  </si>
  <si>
    <t xml:space="preserve">Spread ≈ PD×(1−RR)    [equals expected loss rate]</t>
  </si>
  <si>
    <t xml:space="preserve">PORTFOLIO THEORY</t>
  </si>
  <si>
    <t xml:space="preserve">2-asset E[Rp]</t>
  </si>
  <si>
    <t xml:space="preserve">E[Rp] = w1×E[R1] + w2×E[R2]</t>
  </si>
  <si>
    <t xml:space="preserve">2-asset Var</t>
  </si>
  <si>
    <t xml:space="preserve">Var_p = w1²σ1² + w2²σ2² + 2w1w2·Cov12</t>
  </si>
  <si>
    <t xml:space="preserve">Covariance</t>
  </si>
  <si>
    <t xml:space="preserve">Cov12 = ρ12×σ1×σ2</t>
  </si>
  <si>
    <t xml:space="preserve">3-asset Var</t>
  </si>
  <si>
    <t xml:space="preserve">Var = Σ_i w_i²σ_i² + 2Σ_i&lt;j w_i w_j Cov_ij</t>
  </si>
  <si>
    <t xml:space="preserve">Sharpe Ratio</t>
  </si>
  <si>
    <t xml:space="preserve">S = (E[Rp] − Rf) / σp</t>
  </si>
  <si>
    <t xml:space="preserve">MVE &amp; CAPM</t>
  </si>
  <si>
    <t xml:space="preserve">MVE weight (2-asset)</t>
  </si>
  <si>
    <t xml:space="preserve">w1* = (α1σ2²−α2σ12) / (α1σ2²+α2σ1²−(α1+α2)σ12)    ;  α_i=E[Ri]−Rf</t>
  </si>
  <si>
    <t xml:space="preserve">Complete portfolio y*</t>
  </si>
  <si>
    <t xml:space="preserve">y* = (E[Rmve]−Rf) / (A×σ²_mve)    [fraction in MVE]</t>
  </si>
  <si>
    <t xml:space="preserve">CAPM</t>
  </si>
  <si>
    <t xml:space="preserve">E[Ri] = Rf + β_i × (E[Rm] − Rf)</t>
  </si>
  <si>
    <t xml:space="preserve">Beta</t>
  </si>
  <si>
    <t xml:space="preserve">β_i = Cov(Ri,Rm)/Var(Rm) = ρ_im × σ_i/σ_m</t>
  </si>
  <si>
    <t xml:space="preserve">TVM &amp; LEVERAGE</t>
  </si>
  <si>
    <t xml:space="preserve">PV lump sum</t>
  </si>
  <si>
    <t xml:space="preserve">PV = FV / (1+r)^n</t>
  </si>
  <si>
    <t xml:space="preserve">FV lump sum</t>
  </si>
  <si>
    <t xml:space="preserve">FV = PV × (1+r)^n</t>
  </si>
  <si>
    <t xml:space="preserve">Annuity PV</t>
  </si>
  <si>
    <t xml:space="preserve">PV = PMT × [1−(1+r)^-n] / r</t>
  </si>
  <si>
    <t xml:space="preserve">Perpetuity PV</t>
  </si>
  <si>
    <t xml:space="preserve">PV = PMT / r</t>
  </si>
  <si>
    <t xml:space="preserve">Growing perpetuity (DDM)</t>
  </si>
  <si>
    <t xml:space="preserve">P0 = D1 / (k−g) = D0×(1+g)/(k−g)</t>
  </si>
  <si>
    <t xml:space="preserve">Equity return w/ leverage</t>
  </si>
  <si>
    <t xml:space="preserve">E[R_eq] = E[R_asset] + (D/E)×(E[R_asset]−r_debt)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</si>
</sst>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0.00%"/>
    <numFmt numFmtId="167" formatCode="0.0"/>
    <numFmt numFmtId="168" formatCode="0"/>
    <numFmt numFmtId="169" formatCode="#,##0.0000"/>
    <numFmt numFmtId="170" formatCode="0.0##"/>
    <numFmt numFmtId="171" formatCode="0.0000%"/>
    <numFmt numFmtId="172" formatCode="0.000000"/>
    <numFmt numFmtId="173" formatCode="0.0000"/>
    <numFmt numFmtId="174" formatCode="#,##0"/>
    <numFmt numFmtId="175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80"/>
      <name val="Calibri"/>
      <family val="0"/>
      <charset val="1"/>
    </font>
    <font>
      <b val="true"/>
      <sz val="10"/>
      <color rgb="FF1E6823"/>
      <name val="Calibri"/>
      <family val="0"/>
      <charset val="1"/>
    </font>
    <font>
      <b val="true"/>
      <sz val="10"/>
      <color rgb="FF9C2525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10"/>
      <color rgb="FF00339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10"/>
      <color rgb="FF000080"/>
      <name val="Calibri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7375E"/>
        <bgColor rgb="FF003399"/>
      </patternFill>
    </fill>
    <fill>
      <patternFill patternType="solid">
        <fgColor rgb="FFF7F7F7"/>
        <bgColor rgb="FFEEF4FB"/>
      </patternFill>
    </fill>
    <fill>
      <patternFill patternType="solid">
        <fgColor rgb="FF366092"/>
        <bgColor rgb="FF595959"/>
      </patternFill>
    </fill>
    <fill>
      <patternFill patternType="solid">
        <fgColor rgb="FFEEF4FB"/>
        <bgColor rgb="FFF7F7F7"/>
      </patternFill>
    </fill>
    <fill>
      <patternFill patternType="solid">
        <fgColor rgb="FFFFFFFF"/>
        <bgColor rgb="FFF7F7F7"/>
      </patternFill>
    </fill>
    <fill>
      <patternFill patternType="solid">
        <fgColor rgb="FFFFFFC0"/>
        <bgColor rgb="FFF7F7F7"/>
      </patternFill>
    </fill>
    <fill>
      <patternFill patternType="solid">
        <fgColor rgb="FFC5D9F1"/>
        <bgColor rgb="FFDCE6F1"/>
      </patternFill>
    </fill>
    <fill>
      <patternFill patternType="solid">
        <fgColor rgb="FFD5F5E3"/>
        <bgColor rgb="FFDCE6F1"/>
      </patternFill>
    </fill>
    <fill>
      <patternFill patternType="solid">
        <fgColor rgb="FFFFE4B5"/>
        <bgColor rgb="FFFFFFC0"/>
      </patternFill>
    </fill>
    <fill>
      <patternFill patternType="solid">
        <fgColor rgb="FF9C2525"/>
        <bgColor rgb="FF993366"/>
      </patternFill>
    </fill>
    <fill>
      <patternFill patternType="solid">
        <fgColor rgb="FFDCE6F1"/>
        <bgColor rgb="FFD5F5E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555555"/>
      </left>
      <right/>
      <top style="thin">
        <color rgb="FF555555"/>
      </top>
      <bottom style="thin">
        <color rgb="FF555555"/>
      </bottom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 style="thin">
        <color rgb="FFCCCCCC"/>
      </left>
      <right style="thin">
        <color rgb="FFAAAAAA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5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5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5" fillId="3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6823"/>
      <rgbColor rgb="FF000080"/>
      <rgbColor rgb="FF808000"/>
      <rgbColor rgb="FF800080"/>
      <rgbColor rgb="FF008080"/>
      <rgbColor rgb="FFCCCCCC"/>
      <rgbColor rgb="FF595959"/>
      <rgbColor rgb="FF9999FF"/>
      <rgbColor rgb="FF993366"/>
      <rgbColor rgb="FFFFFFC0"/>
      <rgbColor rgb="FFEEF4FB"/>
      <rgbColor rgb="FF660066"/>
      <rgbColor rgb="FFFF8080"/>
      <rgbColor rgb="FF366092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D5F5E3"/>
      <rgbColor rgb="FFF7F7F7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7375E"/>
      <rgbColor rgb="FF339966"/>
      <rgbColor rgb="FF003300"/>
      <rgbColor rgb="FF333300"/>
      <rgbColor rgb="FF9C2525"/>
      <rgbColor rgb="FF993366"/>
      <rgbColor rgb="FF00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28"/>
    <col collapsed="false" customWidth="true" hidden="false" outlineLevel="0" max="4" min="4" style="1" width="32"/>
    <col collapsed="false" customWidth="true" hidden="false" outlineLevel="0" max="5" min="5" style="1" width="20"/>
    <col collapsed="false" customWidth="true" hidden="false" outlineLevel="0" max="6" min="6" style="1" width="4"/>
  </cols>
  <sheetData>
    <row r="1" customFormat="false" ht="9.7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</row>
    <row r="3" customFormat="false" ht="7.5" hidden="false" customHeight="true" outlineLevel="0" collapsed="false">
      <c r="B3" s="3" t="s">
        <v>1</v>
      </c>
      <c r="C3" s="3"/>
      <c r="D3" s="3"/>
      <c r="E3" s="3"/>
    </row>
    <row r="4" customFormat="false" ht="30" hidden="false" customHeight="true" outlineLevel="0" collapsed="false"/>
    <row r="5" customFormat="false" ht="7.5" hidden="false" customHeight="true" outlineLevel="0" collapsed="false">
      <c r="B5" s="4" t="s">
        <v>2</v>
      </c>
      <c r="C5" s="4"/>
      <c r="D5" s="5" t="s">
        <v>3</v>
      </c>
      <c r="E5" s="5" t="s">
        <v>4</v>
      </c>
    </row>
    <row r="6" customFormat="false" ht="21.75" hidden="false" customHeight="true" outlineLevel="0" collapsed="false">
      <c r="B6" s="6" t="s">
        <v>5</v>
      </c>
      <c r="C6" s="7" t="s">
        <v>6</v>
      </c>
      <c r="D6" s="7" t="s">
        <v>7</v>
      </c>
    </row>
    <row r="7" customFormat="false" ht="21.75" hidden="false" customHeight="true" outlineLevel="0" collapsed="false">
      <c r="B7" s="8" t="s">
        <v>8</v>
      </c>
      <c r="C7" s="9" t="s">
        <v>9</v>
      </c>
      <c r="D7" s="9" t="s">
        <v>10</v>
      </c>
    </row>
    <row r="8" customFormat="false" ht="21.75" hidden="false" customHeight="true" outlineLevel="0" collapsed="false">
      <c r="B8" s="6" t="s">
        <v>11</v>
      </c>
      <c r="C8" s="7" t="s">
        <v>12</v>
      </c>
      <c r="D8" s="7" t="s">
        <v>13</v>
      </c>
    </row>
    <row r="9" customFormat="false" ht="21.75" hidden="false" customHeight="true" outlineLevel="0" collapsed="false">
      <c r="B9" s="8" t="s">
        <v>14</v>
      </c>
      <c r="C9" s="9" t="s">
        <v>15</v>
      </c>
      <c r="D9" s="9" t="s">
        <v>16</v>
      </c>
    </row>
    <row r="10" customFormat="false" ht="21.75" hidden="false" customHeight="true" outlineLevel="0" collapsed="false">
      <c r="B10" s="6" t="s">
        <v>17</v>
      </c>
      <c r="C10" s="7" t="s">
        <v>18</v>
      </c>
      <c r="D10" s="7" t="s">
        <v>19</v>
      </c>
    </row>
    <row r="11" customFormat="false" ht="21.75" hidden="false" customHeight="true" outlineLevel="0" collapsed="false">
      <c r="B11" s="8" t="s">
        <v>20</v>
      </c>
      <c r="C11" s="9" t="s">
        <v>21</v>
      </c>
      <c r="D11" s="9" t="s">
        <v>22</v>
      </c>
    </row>
    <row r="12" customFormat="false" ht="21.75" hidden="false" customHeight="true" outlineLevel="0" collapsed="false">
      <c r="B12" s="6" t="s">
        <v>23</v>
      </c>
      <c r="C12" s="7" t="s">
        <v>24</v>
      </c>
      <c r="D12" s="7" t="s">
        <v>25</v>
      </c>
    </row>
    <row r="13" customFormat="false" ht="21.75" hidden="false" customHeight="true" outlineLevel="0" collapsed="false">
      <c r="B13" s="8" t="s">
        <v>26</v>
      </c>
      <c r="C13" s="9" t="s">
        <v>27</v>
      </c>
      <c r="D13" s="9" t="s">
        <v>28</v>
      </c>
    </row>
    <row r="14" customFormat="false" ht="21.75" hidden="false" customHeight="true" outlineLevel="0" collapsed="false">
      <c r="B14" s="6" t="s">
        <v>29</v>
      </c>
      <c r="C14" s="7" t="s">
        <v>30</v>
      </c>
      <c r="D14" s="7" t="s">
        <v>31</v>
      </c>
    </row>
    <row r="15" customFormat="false" ht="21.75" hidden="false" customHeight="true" outlineLevel="0" collapsed="false">
      <c r="B15" s="8" t="s">
        <v>32</v>
      </c>
      <c r="C15" s="9" t="s">
        <v>33</v>
      </c>
      <c r="D15" s="9" t="s">
        <v>34</v>
      </c>
    </row>
    <row r="16" customFormat="false" ht="21.75" hidden="false" customHeight="true" outlineLevel="0" collapsed="false">
      <c r="B16" s="6" t="s">
        <v>35</v>
      </c>
      <c r="C16" s="7" t="s">
        <v>36</v>
      </c>
      <c r="D16" s="7" t="s">
        <v>37</v>
      </c>
    </row>
    <row r="17" customFormat="false" ht="21.75" hidden="false" customHeight="true" outlineLevel="0" collapsed="false">
      <c r="B17" s="8" t="s">
        <v>38</v>
      </c>
      <c r="C17" s="9" t="s">
        <v>39</v>
      </c>
      <c r="D17" s="9" t="s">
        <v>40</v>
      </c>
    </row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7.5" hidden="false" customHeight="true" outlineLevel="0" collapsed="false">
      <c r="B20" s="4" t="s">
        <v>41</v>
      </c>
      <c r="C20" s="4"/>
      <c r="D20" s="4"/>
      <c r="E20" s="4"/>
    </row>
    <row r="21" customFormat="false" ht="30" hidden="false" customHeight="true" outlineLevel="0" collapsed="false">
      <c r="B21" s="10" t="s">
        <v>42</v>
      </c>
      <c r="C21" s="10"/>
      <c r="D21" s="10"/>
      <c r="E21" s="10"/>
    </row>
    <row r="22" customFormat="false" ht="19.5" hidden="false" customHeight="true" outlineLevel="0" collapsed="false">
      <c r="B22" s="11" t="s">
        <v>43</v>
      </c>
      <c r="C22" s="11"/>
      <c r="D22" s="11"/>
      <c r="E22" s="11"/>
    </row>
    <row r="23" customFormat="false" ht="19.5" hidden="false" customHeight="true" outlineLevel="0" collapsed="false">
      <c r="B23" s="12" t="s">
        <v>44</v>
      </c>
      <c r="C23" s="12"/>
      <c r="D23" s="12"/>
      <c r="E23" s="12"/>
    </row>
    <row r="24" customFormat="false" ht="19.5" hidden="false" customHeight="true" outlineLevel="0" collapsed="false">
      <c r="B24" s="13" t="s">
        <v>45</v>
      </c>
      <c r="C24" s="13"/>
      <c r="D24" s="13"/>
      <c r="E24" s="13"/>
    </row>
    <row r="25" customFormat="false" ht="15" hidden="false" customHeight="true" outlineLevel="0" collapsed="false">
      <c r="B25" s="14" t="s">
        <v>46</v>
      </c>
      <c r="C25" s="14"/>
      <c r="D25" s="14"/>
      <c r="E25" s="14"/>
    </row>
  </sheetData>
  <mergeCells count="9">
    <mergeCell ref="B2:E2"/>
    <mergeCell ref="B3:E3"/>
    <mergeCell ref="B5:C5"/>
    <mergeCell ref="B20:E20"/>
    <mergeCell ref="B21:E21"/>
    <mergeCell ref="B22:E22"/>
    <mergeCell ref="B23:E23"/>
    <mergeCell ref="B24:E2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26"/>
    <col collapsed="false" customWidth="true" hidden="false" outlineLevel="0" max="4" min="4" style="1" width="28"/>
    <col collapsed="false" customWidth="true" hidden="false" outlineLevel="0" max="6" min="5" style="1" width="22"/>
    <col collapsed="false" customWidth="true" hidden="false" outlineLevel="0" max="7" min="7" style="1" width="4"/>
  </cols>
  <sheetData>
    <row r="1" customFormat="false" ht="9.75" hidden="false" customHeight="true" outlineLevel="0" collapsed="false"/>
    <row r="2" customFormat="false" ht="34.5" hidden="false" customHeight="true" outlineLevel="0" collapsed="false">
      <c r="B2" s="15" t="s">
        <v>47</v>
      </c>
      <c r="C2" s="15"/>
      <c r="D2" s="15"/>
      <c r="E2" s="15"/>
      <c r="F2" s="15"/>
    </row>
    <row r="3" customFormat="false" ht="7.5" hidden="false" customHeight="true" outlineLevel="0" collapsed="false"/>
    <row r="4" customFormat="false" ht="30" hidden="false" customHeight="true" outlineLevel="0" collapsed="false">
      <c r="B4" s="16" t="s">
        <v>48</v>
      </c>
      <c r="C4" s="16" t="s">
        <v>49</v>
      </c>
      <c r="D4" s="16" t="s">
        <v>50</v>
      </c>
      <c r="E4" s="16" t="s">
        <v>51</v>
      </c>
      <c r="F4" s="16" t="s">
        <v>52</v>
      </c>
    </row>
    <row r="5" customFormat="false" ht="20.25" hidden="false" customHeight="true" outlineLevel="0" collapsed="false">
      <c r="B5" s="7" t="s">
        <v>53</v>
      </c>
      <c r="C5" s="17" t="s">
        <v>11</v>
      </c>
      <c r="D5" s="7" t="s">
        <v>54</v>
      </c>
      <c r="E5" s="7" t="s">
        <v>55</v>
      </c>
      <c r="F5" s="7" t="s">
        <v>56</v>
      </c>
    </row>
    <row r="6" customFormat="false" ht="20.25" hidden="false" customHeight="true" outlineLevel="0" collapsed="false">
      <c r="B6" s="9" t="s">
        <v>57</v>
      </c>
      <c r="C6" s="18" t="s">
        <v>11</v>
      </c>
      <c r="D6" s="9" t="s">
        <v>58</v>
      </c>
      <c r="E6" s="9" t="s">
        <v>59</v>
      </c>
      <c r="F6" s="9" t="s">
        <v>60</v>
      </c>
    </row>
    <row r="7" customFormat="false" ht="20.25" hidden="false" customHeight="true" outlineLevel="0" collapsed="false">
      <c r="B7" s="7" t="s">
        <v>61</v>
      </c>
      <c r="C7" s="17" t="s">
        <v>11</v>
      </c>
      <c r="D7" s="7" t="s">
        <v>62</v>
      </c>
      <c r="E7" s="7" t="s">
        <v>63</v>
      </c>
      <c r="F7" s="7" t="s">
        <v>64</v>
      </c>
    </row>
    <row r="8" customFormat="false" ht="20.25" hidden="false" customHeight="true" outlineLevel="0" collapsed="false">
      <c r="B8" s="9" t="s">
        <v>65</v>
      </c>
      <c r="C8" s="18" t="s">
        <v>14</v>
      </c>
      <c r="D8" s="9" t="s">
        <v>66</v>
      </c>
      <c r="E8" s="9" t="s">
        <v>67</v>
      </c>
      <c r="F8" s="9" t="s">
        <v>68</v>
      </c>
    </row>
    <row r="9" customFormat="false" ht="20.25" hidden="false" customHeight="true" outlineLevel="0" collapsed="false">
      <c r="B9" s="7" t="s">
        <v>69</v>
      </c>
      <c r="C9" s="17" t="s">
        <v>14</v>
      </c>
      <c r="D9" s="7" t="s">
        <v>70</v>
      </c>
      <c r="E9" s="7" t="s">
        <v>71</v>
      </c>
      <c r="F9" s="7" t="s">
        <v>72</v>
      </c>
    </row>
    <row r="10" customFormat="false" ht="20.25" hidden="false" customHeight="true" outlineLevel="0" collapsed="false">
      <c r="B10" s="9" t="s">
        <v>73</v>
      </c>
      <c r="C10" s="18" t="s">
        <v>14</v>
      </c>
      <c r="D10" s="9" t="s">
        <v>74</v>
      </c>
      <c r="E10" s="9" t="s">
        <v>75</v>
      </c>
      <c r="F10" s="9" t="s">
        <v>76</v>
      </c>
    </row>
    <row r="11" customFormat="false" ht="20.25" hidden="false" customHeight="true" outlineLevel="0" collapsed="false">
      <c r="B11" s="7" t="s">
        <v>77</v>
      </c>
      <c r="C11" s="17" t="s">
        <v>14</v>
      </c>
      <c r="D11" s="7" t="s">
        <v>78</v>
      </c>
      <c r="E11" s="7" t="s">
        <v>79</v>
      </c>
      <c r="F11" s="7" t="s">
        <v>80</v>
      </c>
    </row>
    <row r="12" customFormat="false" ht="20.25" hidden="false" customHeight="true" outlineLevel="0" collapsed="false">
      <c r="B12" s="9" t="s">
        <v>81</v>
      </c>
      <c r="C12" s="18" t="s">
        <v>17</v>
      </c>
      <c r="D12" s="9" t="s">
        <v>82</v>
      </c>
      <c r="E12" s="9" t="s">
        <v>83</v>
      </c>
      <c r="F12" s="9" t="s">
        <v>84</v>
      </c>
    </row>
    <row r="13" customFormat="false" ht="30" hidden="false" customHeight="true" outlineLevel="0" collapsed="false">
      <c r="B13" s="7" t="s">
        <v>85</v>
      </c>
      <c r="C13" s="17" t="s">
        <v>17</v>
      </c>
      <c r="D13" s="7" t="s">
        <v>86</v>
      </c>
      <c r="E13" s="7" t="s">
        <v>87</v>
      </c>
      <c r="F13" s="7" t="s">
        <v>88</v>
      </c>
    </row>
    <row r="14" customFormat="false" ht="20.25" hidden="false" customHeight="true" outlineLevel="0" collapsed="false">
      <c r="B14" s="9" t="s">
        <v>89</v>
      </c>
      <c r="C14" s="18" t="s">
        <v>20</v>
      </c>
      <c r="D14" s="9" t="s">
        <v>90</v>
      </c>
      <c r="E14" s="9" t="s">
        <v>91</v>
      </c>
      <c r="F14" s="9" t="s">
        <v>92</v>
      </c>
    </row>
    <row r="15" customFormat="false" ht="30" hidden="false" customHeight="true" outlineLevel="0" collapsed="false">
      <c r="B15" s="7" t="s">
        <v>93</v>
      </c>
      <c r="C15" s="17" t="s">
        <v>20</v>
      </c>
      <c r="D15" s="7" t="s">
        <v>94</v>
      </c>
      <c r="E15" s="7" t="s">
        <v>95</v>
      </c>
      <c r="F15" s="7" t="s">
        <v>96</v>
      </c>
    </row>
    <row r="16" customFormat="false" ht="20.25" hidden="false" customHeight="true" outlineLevel="0" collapsed="false">
      <c r="B16" s="9" t="s">
        <v>97</v>
      </c>
      <c r="C16" s="18" t="s">
        <v>20</v>
      </c>
      <c r="D16" s="9" t="s">
        <v>98</v>
      </c>
      <c r="E16" s="9" t="s">
        <v>99</v>
      </c>
      <c r="F16" s="9" t="s">
        <v>100</v>
      </c>
    </row>
    <row r="17" customFormat="false" ht="30" hidden="false" customHeight="true" outlineLevel="0" collapsed="false">
      <c r="B17" s="7" t="s">
        <v>101</v>
      </c>
      <c r="C17" s="17" t="s">
        <v>23</v>
      </c>
      <c r="D17" s="7" t="s">
        <v>102</v>
      </c>
      <c r="E17" s="7" t="s">
        <v>103</v>
      </c>
      <c r="F17" s="7" t="s">
        <v>104</v>
      </c>
    </row>
    <row r="18" customFormat="false" ht="20.25" hidden="false" customHeight="true" outlineLevel="0" collapsed="false">
      <c r="B18" s="9" t="s">
        <v>105</v>
      </c>
      <c r="C18" s="18" t="s">
        <v>23</v>
      </c>
      <c r="D18" s="9" t="s">
        <v>106</v>
      </c>
      <c r="E18" s="9" t="s">
        <v>107</v>
      </c>
      <c r="F18" s="9" t="s">
        <v>108</v>
      </c>
    </row>
    <row r="19" customFormat="false" ht="20.25" hidden="false" customHeight="true" outlineLevel="0" collapsed="false">
      <c r="B19" s="7" t="s">
        <v>109</v>
      </c>
      <c r="C19" s="17" t="s">
        <v>23</v>
      </c>
      <c r="D19" s="7" t="s">
        <v>110</v>
      </c>
      <c r="E19" s="7" t="s">
        <v>111</v>
      </c>
      <c r="F19" s="7" t="s">
        <v>112</v>
      </c>
    </row>
    <row r="20" customFormat="false" ht="20.25" hidden="false" customHeight="true" outlineLevel="0" collapsed="false">
      <c r="B20" s="9" t="s">
        <v>113</v>
      </c>
      <c r="C20" s="18" t="s">
        <v>26</v>
      </c>
      <c r="D20" s="9" t="s">
        <v>114</v>
      </c>
      <c r="E20" s="9" t="s">
        <v>115</v>
      </c>
      <c r="F20" s="9" t="s">
        <v>116</v>
      </c>
    </row>
    <row r="21" customFormat="false" ht="20.25" hidden="false" customHeight="true" outlineLevel="0" collapsed="false">
      <c r="B21" s="7" t="s">
        <v>117</v>
      </c>
      <c r="C21" s="17" t="s">
        <v>26</v>
      </c>
      <c r="D21" s="7" t="s">
        <v>118</v>
      </c>
      <c r="E21" s="7" t="s">
        <v>119</v>
      </c>
      <c r="F21" s="7" t="s">
        <v>120</v>
      </c>
    </row>
    <row r="22" customFormat="false" ht="30" hidden="false" customHeight="true" outlineLevel="0" collapsed="false">
      <c r="B22" s="9" t="s">
        <v>121</v>
      </c>
      <c r="C22" s="18" t="s">
        <v>29</v>
      </c>
      <c r="D22" s="9" t="s">
        <v>122</v>
      </c>
      <c r="E22" s="9" t="s">
        <v>123</v>
      </c>
      <c r="F22" s="9" t="s">
        <v>124</v>
      </c>
    </row>
    <row r="23" customFormat="false" ht="30" hidden="false" customHeight="true" outlineLevel="0" collapsed="false">
      <c r="B23" s="7" t="s">
        <v>125</v>
      </c>
      <c r="C23" s="17" t="s">
        <v>32</v>
      </c>
      <c r="D23" s="7" t="s">
        <v>126</v>
      </c>
      <c r="E23" s="7" t="s">
        <v>127</v>
      </c>
      <c r="F23" s="7" t="s">
        <v>128</v>
      </c>
    </row>
    <row r="24" customFormat="false" ht="20.25" hidden="false" customHeight="true" outlineLevel="0" collapsed="false">
      <c r="B24" s="9" t="s">
        <v>129</v>
      </c>
      <c r="C24" s="18" t="s">
        <v>35</v>
      </c>
      <c r="D24" s="9" t="s">
        <v>130</v>
      </c>
      <c r="E24" s="9" t="s">
        <v>131</v>
      </c>
      <c r="F24" s="9" t="s">
        <v>132</v>
      </c>
    </row>
    <row r="25" customFormat="false" ht="20.25" hidden="false" customHeight="true" outlineLevel="0" collapsed="false">
      <c r="B25" s="7" t="s">
        <v>133</v>
      </c>
      <c r="C25" s="17" t="s">
        <v>35</v>
      </c>
      <c r="D25" s="7" t="s">
        <v>134</v>
      </c>
      <c r="E25" s="7" t="s">
        <v>135</v>
      </c>
      <c r="F25" s="7" t="s">
        <v>136</v>
      </c>
    </row>
    <row r="26" customFormat="false" ht="20.25" hidden="false" customHeight="true" outlineLevel="0" collapsed="false">
      <c r="B26" s="9" t="s">
        <v>137</v>
      </c>
      <c r="C26" s="18" t="s">
        <v>35</v>
      </c>
      <c r="D26" s="9" t="s">
        <v>138</v>
      </c>
      <c r="E26" s="9" t="s">
        <v>139</v>
      </c>
      <c r="F26" s="9" t="s">
        <v>140</v>
      </c>
    </row>
    <row r="27" customFormat="false" ht="20.25" hidden="false" customHeight="true" outlineLevel="0" collapsed="false">
      <c r="B27" s="7" t="s">
        <v>141</v>
      </c>
      <c r="C27" s="17" t="s">
        <v>35</v>
      </c>
      <c r="D27" s="7" t="s">
        <v>142</v>
      </c>
      <c r="E27" s="7" t="s">
        <v>143</v>
      </c>
      <c r="F27" s="7" t="s">
        <v>144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4" min="3" style="1" width="35"/>
    <col collapsed="false" customWidth="true" hidden="false" outlineLevel="0" max="5" min="5" style="1" width="4"/>
  </cols>
  <sheetData>
    <row r="2" customFormat="false" ht="31.5" hidden="false" customHeight="true" outlineLevel="0" collapsed="false">
      <c r="B2" s="15" t="s">
        <v>145</v>
      </c>
      <c r="C2" s="15"/>
      <c r="D2" s="15"/>
    </row>
    <row r="4" customFormat="false" ht="24.75" hidden="false" customHeight="true" outlineLevel="0" collapsed="false">
      <c r="B4" s="19" t="s">
        <v>146</v>
      </c>
      <c r="C4" s="19"/>
      <c r="D4" s="19"/>
    </row>
    <row r="5" customFormat="false" ht="15" hidden="false" customHeight="true" outlineLevel="0" collapsed="false">
      <c r="B5" s="6" t="s">
        <v>147</v>
      </c>
      <c r="C5" s="7" t="s">
        <v>148</v>
      </c>
      <c r="D5" s="7" t="s">
        <v>149</v>
      </c>
    </row>
    <row r="6" customFormat="false" ht="15" hidden="false" customHeight="true" outlineLevel="0" collapsed="false">
      <c r="B6" s="8" t="s">
        <v>150</v>
      </c>
      <c r="C6" s="9" t="s">
        <v>151</v>
      </c>
      <c r="D6" s="9" t="s">
        <v>152</v>
      </c>
    </row>
    <row r="7" customFormat="false" ht="15" hidden="false" customHeight="true" outlineLevel="0" collapsed="false">
      <c r="B7" s="6" t="s">
        <v>153</v>
      </c>
      <c r="C7" s="7" t="s">
        <v>154</v>
      </c>
      <c r="D7" s="7" t="s">
        <v>155</v>
      </c>
    </row>
    <row r="8" customFormat="false" ht="15" hidden="false" customHeight="true" outlineLevel="0" collapsed="false">
      <c r="B8" s="8" t="s">
        <v>156</v>
      </c>
      <c r="C8" s="9" t="s">
        <v>157</v>
      </c>
      <c r="D8" s="9" t="s">
        <v>158</v>
      </c>
    </row>
    <row r="9" customFormat="false" ht="15" hidden="false" customHeight="true" outlineLevel="0" collapsed="false">
      <c r="B9" s="6" t="s">
        <v>159</v>
      </c>
      <c r="C9" s="7" t="s">
        <v>160</v>
      </c>
      <c r="D9" s="7" t="s">
        <v>161</v>
      </c>
    </row>
    <row r="10" customFormat="false" ht="15" hidden="false" customHeight="true" outlineLevel="0" collapsed="false">
      <c r="B10" s="8" t="s">
        <v>162</v>
      </c>
      <c r="C10" s="9" t="s">
        <v>163</v>
      </c>
      <c r="D10" s="9" t="s">
        <v>164</v>
      </c>
    </row>
    <row r="11" customFormat="false" ht="15" hidden="false" customHeight="true" outlineLevel="0" collapsed="false">
      <c r="B11" s="6" t="s">
        <v>165</v>
      </c>
      <c r="C11" s="7" t="s">
        <v>166</v>
      </c>
      <c r="D11" s="7" t="s">
        <v>167</v>
      </c>
    </row>
    <row r="12" customFormat="false" ht="20.25" hidden="false" customHeight="true" outlineLevel="0" collapsed="false">
      <c r="B12" s="8" t="s">
        <v>168</v>
      </c>
      <c r="C12" s="9" t="s">
        <v>169</v>
      </c>
      <c r="D12" s="9" t="s">
        <v>170</v>
      </c>
    </row>
    <row r="13" customFormat="false" ht="15" hidden="false" customHeight="true" outlineLevel="0" collapsed="false">
      <c r="B13" s="6" t="s">
        <v>171</v>
      </c>
      <c r="C13" s="7" t="s">
        <v>172</v>
      </c>
      <c r="D13" s="7" t="s">
        <v>173</v>
      </c>
    </row>
    <row r="15" customFormat="false" ht="15" hidden="false" customHeight="true" outlineLevel="0" collapsed="false">
      <c r="B15" s="19" t="s">
        <v>174</v>
      </c>
      <c r="C15" s="19"/>
      <c r="D15" s="19"/>
    </row>
    <row r="16" customFormat="false" ht="15" hidden="false" customHeight="true" outlineLevel="0" collapsed="false">
      <c r="B16" s="20" t="s">
        <v>175</v>
      </c>
      <c r="C16" s="21" t="s">
        <v>176</v>
      </c>
      <c r="D16" s="21" t="s">
        <v>177</v>
      </c>
    </row>
    <row r="17" customFormat="false" ht="15" hidden="false" customHeight="true" outlineLevel="0" collapsed="false">
      <c r="B17" s="8" t="s">
        <v>178</v>
      </c>
      <c r="C17" s="9" t="s">
        <v>179</v>
      </c>
      <c r="D17" s="9" t="s">
        <v>180</v>
      </c>
    </row>
    <row r="18" customFormat="false" ht="15" hidden="false" customHeight="true" outlineLevel="0" collapsed="false">
      <c r="B18" s="20" t="s">
        <v>181</v>
      </c>
      <c r="C18" s="21" t="s">
        <v>182</v>
      </c>
      <c r="D18" s="21" t="s">
        <v>183</v>
      </c>
    </row>
    <row r="19" customFormat="false" ht="15" hidden="false" customHeight="true" outlineLevel="0" collapsed="false">
      <c r="B19" s="8" t="s">
        <v>184</v>
      </c>
      <c r="C19" s="9" t="s">
        <v>185</v>
      </c>
      <c r="D19" s="9" t="s">
        <v>186</v>
      </c>
    </row>
    <row r="20" customFormat="false" ht="15" hidden="false" customHeight="true" outlineLevel="0" collapsed="false">
      <c r="B20" s="20" t="s">
        <v>187</v>
      </c>
      <c r="C20" s="21" t="s">
        <v>71</v>
      </c>
      <c r="D20" s="21" t="s">
        <v>188</v>
      </c>
    </row>
    <row r="21" customFormat="false" ht="15" hidden="false" customHeight="true" outlineLevel="0" collapsed="false">
      <c r="B21" s="8" t="s">
        <v>189</v>
      </c>
      <c r="C21" s="9" t="s">
        <v>190</v>
      </c>
      <c r="D21" s="9" t="s">
        <v>191</v>
      </c>
    </row>
    <row r="22" customFormat="false" ht="15" hidden="false" customHeight="true" outlineLevel="0" collapsed="false">
      <c r="B22" s="20" t="s">
        <v>192</v>
      </c>
      <c r="C22" s="21" t="s">
        <v>193</v>
      </c>
      <c r="D22" s="21" t="s">
        <v>194</v>
      </c>
    </row>
    <row r="23" customFormat="false" ht="20.25" hidden="false" customHeight="true" outlineLevel="0" collapsed="false">
      <c r="B23" s="8" t="s">
        <v>195</v>
      </c>
      <c r="C23" s="9" t="s">
        <v>196</v>
      </c>
      <c r="D23" s="9" t="s">
        <v>197</v>
      </c>
    </row>
    <row r="24" customFormat="false" ht="15" hidden="false" customHeight="true" outlineLevel="0" collapsed="false">
      <c r="B24" s="20" t="s">
        <v>198</v>
      </c>
      <c r="C24" s="21" t="s">
        <v>199</v>
      </c>
      <c r="D24" s="21" t="s">
        <v>200</v>
      </c>
    </row>
    <row r="25" customFormat="false" ht="15" hidden="false" customHeight="true" outlineLevel="0" collapsed="false">
      <c r="B25" s="8" t="s">
        <v>201</v>
      </c>
      <c r="C25" s="9" t="s">
        <v>202</v>
      </c>
      <c r="D25" s="9" t="s">
        <v>203</v>
      </c>
    </row>
  </sheetData>
  <mergeCells count="3">
    <mergeCell ref="B2:D2"/>
    <mergeCell ref="B4:D4"/>
    <mergeCell ref="B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4" min="3" style="1" width="16"/>
    <col collapsed="false" customWidth="true" hidden="false" outlineLevel="0" max="6" min="5" style="1" width="14"/>
    <col collapsed="false" customWidth="true" hidden="false" outlineLevel="0" max="7" min="7" style="1" width="38"/>
  </cols>
  <sheetData>
    <row r="2" customFormat="false" ht="27.75" hidden="false" customHeight="true" outlineLevel="0" collapsed="false">
      <c r="B2" s="22" t="s">
        <v>204</v>
      </c>
      <c r="C2" s="22"/>
      <c r="D2" s="22"/>
      <c r="E2" s="22"/>
      <c r="F2" s="22"/>
      <c r="G2" s="22"/>
    </row>
    <row r="3" customFormat="false" ht="54.75" hidden="false" customHeight="true" outlineLevel="0" collapsed="false">
      <c r="B3" s="3" t="s">
        <v>205</v>
      </c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206</v>
      </c>
      <c r="C5" s="19"/>
      <c r="D5" s="19"/>
      <c r="E5" s="19"/>
      <c r="F5" s="19"/>
      <c r="G5" s="19"/>
    </row>
    <row r="6" customFormat="false" ht="15" hidden="false" customHeight="true" outlineLevel="0" collapsed="false">
      <c r="B6" s="9" t="s">
        <v>207</v>
      </c>
      <c r="C6" s="23" t="n">
        <v>100</v>
      </c>
      <c r="D6" s="3" t="s">
        <v>208</v>
      </c>
      <c r="E6" s="3"/>
      <c r="F6" s="3"/>
      <c r="G6" s="3"/>
    </row>
    <row r="7" customFormat="false" ht="15" hidden="false" customHeight="true" outlineLevel="0" collapsed="false">
      <c r="B7" s="9" t="s">
        <v>209</v>
      </c>
      <c r="C7" s="24" t="n">
        <v>0.03</v>
      </c>
      <c r="D7" s="3" t="s">
        <v>210</v>
      </c>
      <c r="E7" s="3"/>
      <c r="F7" s="3"/>
      <c r="G7" s="3"/>
    </row>
    <row r="8" customFormat="false" ht="15" hidden="false" customHeight="true" outlineLevel="0" collapsed="false">
      <c r="B8" s="9" t="s">
        <v>211</v>
      </c>
      <c r="C8" s="25" t="n">
        <v>2</v>
      </c>
      <c r="D8" s="3" t="s">
        <v>212</v>
      </c>
      <c r="E8" s="3"/>
      <c r="F8" s="3"/>
      <c r="G8" s="3"/>
    </row>
    <row r="9" customFormat="false" ht="15" hidden="false" customHeight="true" outlineLevel="0" collapsed="false">
      <c r="B9" s="9" t="s">
        <v>213</v>
      </c>
      <c r="C9" s="26" t="n">
        <v>2</v>
      </c>
      <c r="D9" s="3" t="s">
        <v>214</v>
      </c>
      <c r="E9" s="3"/>
      <c r="F9" s="3"/>
      <c r="G9" s="3"/>
    </row>
    <row r="10" customFormat="false" ht="7.5" hidden="false" customHeight="true" outlineLevel="0" collapsed="false"/>
    <row r="11" customFormat="false" ht="15" hidden="false" customHeight="true" outlineLevel="0" collapsed="false">
      <c r="B11" s="8" t="s">
        <v>215</v>
      </c>
      <c r="C11" s="27" t="n">
        <f aca="false">C6*C7/C9</f>
        <v>1.5</v>
      </c>
    </row>
    <row r="12" customFormat="false" ht="15" hidden="false" customHeight="true" outlineLevel="0" collapsed="false">
      <c r="B12" s="8" t="s">
        <v>216</v>
      </c>
      <c r="C12" s="28" t="n">
        <f aca="false">C8*C9</f>
        <v>4</v>
      </c>
    </row>
    <row r="13" customFormat="false" ht="7.5" hidden="false" customHeight="true" outlineLevel="0" collapsed="false"/>
    <row r="14" customFormat="false" ht="15" hidden="false" customHeight="true" outlineLevel="0" collapsed="false">
      <c r="B14" s="19" t="s">
        <v>217</v>
      </c>
      <c r="C14" s="19"/>
      <c r="D14" s="19"/>
      <c r="E14" s="19"/>
      <c r="F14" s="19"/>
      <c r="G14" s="19"/>
    </row>
    <row r="15" customFormat="false" ht="21.75" hidden="false" customHeight="true" outlineLevel="0" collapsed="false">
      <c r="B15" s="16" t="s">
        <v>218</v>
      </c>
      <c r="C15" s="16" t="s">
        <v>219</v>
      </c>
      <c r="D15" s="16" t="s">
        <v>220</v>
      </c>
      <c r="E15" s="16" t="s">
        <v>221</v>
      </c>
      <c r="F15" s="16" t="s">
        <v>222</v>
      </c>
      <c r="G15" s="16" t="s">
        <v>223</v>
      </c>
    </row>
    <row r="16" customFormat="false" ht="15" hidden="false" customHeight="true" outlineLevel="0" collapsed="false">
      <c r="B16" s="29" t="n">
        <v>1</v>
      </c>
      <c r="C16" s="30" t="n">
        <f aca="false">B16/$C$9</f>
        <v>0.5</v>
      </c>
      <c r="D16" s="31" t="n">
        <v>0.025</v>
      </c>
      <c r="E16" s="32" t="n">
        <f aca="false">IF(D16=0,0,1/(1+D16/2)^(2*C16))</f>
        <v>0.987654320987654</v>
      </c>
      <c r="F16" s="33" t="n">
        <f aca="false">IF(B16&gt;$C$12,0,IF(B16=$C$12,$C$11+$C$6,$C$11))</f>
        <v>1.5</v>
      </c>
      <c r="G16" s="33" t="n">
        <f aca="false">F16*E16</f>
        <v>1.48148148148148</v>
      </c>
    </row>
    <row r="17" customFormat="false" ht="15" hidden="false" customHeight="true" outlineLevel="0" collapsed="false">
      <c r="B17" s="34" t="n">
        <v>2</v>
      </c>
      <c r="C17" s="35" t="n">
        <f aca="false">B17/$C$9</f>
        <v>1</v>
      </c>
      <c r="D17" s="31" t="n">
        <v>0.022</v>
      </c>
      <c r="E17" s="36" t="n">
        <f aca="false">IF(D17=0,0,1/(1+D17/2)^(2*C17))</f>
        <v>0.978357748250941</v>
      </c>
      <c r="F17" s="37" t="n">
        <f aca="false">IF(B17&gt;$C$12,0,IF(B17=$C$12,$C$11+$C$6,$C$11))</f>
        <v>1.5</v>
      </c>
      <c r="G17" s="37" t="n">
        <f aca="false">F17*E17</f>
        <v>1.46753662237641</v>
      </c>
    </row>
    <row r="18" customFormat="false" ht="15" hidden="false" customHeight="true" outlineLevel="0" collapsed="false">
      <c r="B18" s="29" t="n">
        <v>3</v>
      </c>
      <c r="C18" s="30" t="n">
        <f aca="false">B18/$C$9</f>
        <v>1.5</v>
      </c>
      <c r="D18" s="31" t="n">
        <v>0.02</v>
      </c>
      <c r="E18" s="32" t="n">
        <f aca="false">IF(D18=0,0,1/(1+D18/2)^(2*C18))</f>
        <v>0.970590147927644</v>
      </c>
      <c r="F18" s="33" t="n">
        <f aca="false">IF(B18&gt;$C$12,0,IF(B18=$C$12,$C$11+$C$6,$C$11))</f>
        <v>1.5</v>
      </c>
      <c r="G18" s="33" t="n">
        <f aca="false">F18*E18</f>
        <v>1.45588522189147</v>
      </c>
    </row>
    <row r="19" customFormat="false" ht="15" hidden="false" customHeight="true" outlineLevel="0" collapsed="false">
      <c r="B19" s="34" t="n">
        <v>4</v>
      </c>
      <c r="C19" s="35" t="n">
        <f aca="false">B19/$C$9</f>
        <v>2</v>
      </c>
      <c r="D19" s="31" t="n">
        <v>0.018</v>
      </c>
      <c r="E19" s="36" t="n">
        <f aca="false">IF(D19=0,0,1/(1+D19/2)^(2*C19))</f>
        <v>0.96479564637233</v>
      </c>
      <c r="F19" s="37" t="n">
        <f aca="false">IF(B19&gt;$C$12,0,IF(B19=$C$12,$C$11+$C$6,$C$11))</f>
        <v>101.5</v>
      </c>
      <c r="G19" s="37" t="n">
        <f aca="false">F19*E19</f>
        <v>97.9267581067915</v>
      </c>
    </row>
    <row r="20" customFormat="false" ht="15" hidden="false" customHeight="true" outlineLevel="0" collapsed="false">
      <c r="B20" s="29" t="n">
        <v>5</v>
      </c>
      <c r="C20" s="30" t="n">
        <f aca="false">B20/$C$9</f>
        <v>2.5</v>
      </c>
      <c r="D20" s="31" t="n">
        <v>0.016</v>
      </c>
      <c r="E20" s="32" t="n">
        <f aca="false">IF(D20=0,0,1/(1+D20/2)^(2*C20))</f>
        <v>0.960942362645598</v>
      </c>
      <c r="F20" s="33" t="n">
        <f aca="false">IF(B20&gt;$C$12,0,IF(B20=$C$12,$C$11+$C$6,$C$11))</f>
        <v>0</v>
      </c>
      <c r="G20" s="33" t="n">
        <f aca="false">F20*E20</f>
        <v>0</v>
      </c>
    </row>
    <row r="21" customFormat="false" ht="15" hidden="false" customHeight="true" outlineLevel="0" collapsed="false">
      <c r="B21" s="34" t="n">
        <v>6</v>
      </c>
      <c r="C21" s="35" t="n">
        <f aca="false">B21/$C$9</f>
        <v>3</v>
      </c>
      <c r="D21" s="31" t="n">
        <v>0</v>
      </c>
      <c r="E21" s="36" t="n">
        <f aca="false">IF(D21=0,0,1/(1+D21/2)^(2*C21))</f>
        <v>0</v>
      </c>
      <c r="F21" s="37" t="n">
        <f aca="false">IF(B21&gt;$C$12,0,IF(B21=$C$12,$C$11+$C$6,$C$11))</f>
        <v>0</v>
      </c>
      <c r="G21" s="37" t="n">
        <f aca="false">F21*E21</f>
        <v>0</v>
      </c>
    </row>
    <row r="22" customFormat="false" ht="15" hidden="false" customHeight="true" outlineLevel="0" collapsed="false">
      <c r="B22" s="29" t="n">
        <v>7</v>
      </c>
      <c r="C22" s="30" t="n">
        <f aca="false">B22/$C$9</f>
        <v>3.5</v>
      </c>
      <c r="D22" s="31" t="n">
        <v>0</v>
      </c>
      <c r="E22" s="32" t="n">
        <f aca="false">IF(D22=0,0,1/(1+D22/2)^(2*C22))</f>
        <v>0</v>
      </c>
      <c r="F22" s="33" t="n">
        <f aca="false">IF(B22&gt;$C$12,0,IF(B22=$C$12,$C$11+$C$6,$C$11))</f>
        <v>0</v>
      </c>
      <c r="G22" s="33" t="n">
        <f aca="false">F22*E22</f>
        <v>0</v>
      </c>
    </row>
    <row r="23" customFormat="false" ht="15" hidden="false" customHeight="true" outlineLevel="0" collapsed="false">
      <c r="B23" s="34" t="n">
        <v>8</v>
      </c>
      <c r="C23" s="35" t="n">
        <f aca="false">B23/$C$9</f>
        <v>4</v>
      </c>
      <c r="D23" s="31" t="n">
        <v>0</v>
      </c>
      <c r="E23" s="36" t="n">
        <f aca="false">IF(D23=0,0,1/(1+D23/2)^(2*C23))</f>
        <v>0</v>
      </c>
      <c r="F23" s="37" t="n">
        <f aca="false">IF(B23&gt;$C$12,0,IF(B23=$C$12,$C$11+$C$6,$C$11))</f>
        <v>0</v>
      </c>
      <c r="G23" s="37" t="n">
        <f aca="false">F23*E23</f>
        <v>0</v>
      </c>
    </row>
    <row r="24" customFormat="false" ht="15" hidden="false" customHeight="true" outlineLevel="0" collapsed="false">
      <c r="B24" s="29" t="n">
        <v>9</v>
      </c>
      <c r="C24" s="30" t="n">
        <f aca="false">B24/$C$9</f>
        <v>4.5</v>
      </c>
      <c r="D24" s="31" t="n">
        <v>0</v>
      </c>
      <c r="E24" s="32" t="n">
        <f aca="false">IF(D24=0,0,1/(1+D24/2)^(2*C24))</f>
        <v>0</v>
      </c>
      <c r="F24" s="33" t="n">
        <f aca="false">IF(B24&gt;$C$12,0,IF(B24=$C$12,$C$11+$C$6,$C$11))</f>
        <v>0</v>
      </c>
      <c r="G24" s="33" t="n">
        <f aca="false">F24*E24</f>
        <v>0</v>
      </c>
    </row>
    <row r="25" customFormat="false" ht="15" hidden="false" customHeight="true" outlineLevel="0" collapsed="false">
      <c r="B25" s="34" t="n">
        <v>10</v>
      </c>
      <c r="C25" s="35" t="n">
        <f aca="false">B25/$C$9</f>
        <v>5</v>
      </c>
      <c r="D25" s="31" t="n">
        <v>0</v>
      </c>
      <c r="E25" s="36" t="n">
        <f aca="false">IF(D25=0,0,1/(1+D25/2)^(2*C25))</f>
        <v>0</v>
      </c>
      <c r="F25" s="37" t="n">
        <f aca="false">IF(B25&gt;$C$12,0,IF(B25=$C$12,$C$11+$C$6,$C$11))</f>
        <v>0</v>
      </c>
      <c r="G25" s="37" t="n">
        <f aca="false">F25*E25</f>
        <v>0</v>
      </c>
    </row>
    <row r="26" customFormat="false" ht="15" hidden="false" customHeight="true" outlineLevel="0" collapsed="false">
      <c r="B26" s="29" t="n">
        <v>11</v>
      </c>
      <c r="C26" s="30" t="n">
        <f aca="false">B26/$C$9</f>
        <v>5.5</v>
      </c>
      <c r="D26" s="31" t="n">
        <v>0</v>
      </c>
      <c r="E26" s="32" t="n">
        <f aca="false">IF(D26=0,0,1/(1+D26/2)^(2*C26))</f>
        <v>0</v>
      </c>
      <c r="F26" s="33" t="n">
        <f aca="false">IF(B26&gt;$C$12,0,IF(B26=$C$12,$C$11+$C$6,$C$11))</f>
        <v>0</v>
      </c>
      <c r="G26" s="33" t="n">
        <f aca="false">F26*E26</f>
        <v>0</v>
      </c>
    </row>
    <row r="27" customFormat="false" ht="15" hidden="false" customHeight="true" outlineLevel="0" collapsed="false">
      <c r="B27" s="34" t="n">
        <v>12</v>
      </c>
      <c r="C27" s="35" t="n">
        <f aca="false">B27/$C$9</f>
        <v>6</v>
      </c>
      <c r="D27" s="31" t="n">
        <v>0</v>
      </c>
      <c r="E27" s="36" t="n">
        <f aca="false">IF(D27=0,0,1/(1+D27/2)^(2*C27))</f>
        <v>0</v>
      </c>
      <c r="F27" s="37" t="n">
        <f aca="false">IF(B27&gt;$C$12,0,IF(B27=$C$12,$C$11+$C$6,$C$11))</f>
        <v>0</v>
      </c>
      <c r="G27" s="37" t="n">
        <f aca="false">F27*E27</f>
        <v>0</v>
      </c>
    </row>
    <row r="28" customFormat="false" ht="15" hidden="false" customHeight="true" outlineLevel="0" collapsed="false">
      <c r="B28" s="29" t="n">
        <v>13</v>
      </c>
      <c r="C28" s="30" t="n">
        <f aca="false">B28/$C$9</f>
        <v>6.5</v>
      </c>
      <c r="D28" s="31" t="n">
        <v>0</v>
      </c>
      <c r="E28" s="32" t="n">
        <f aca="false">IF(D28=0,0,1/(1+D28/2)^(2*C28))</f>
        <v>0</v>
      </c>
      <c r="F28" s="33" t="n">
        <f aca="false">IF(B28&gt;$C$12,0,IF(B28=$C$12,$C$11+$C$6,$C$11))</f>
        <v>0</v>
      </c>
      <c r="G28" s="33" t="n">
        <f aca="false">F28*E28</f>
        <v>0</v>
      </c>
    </row>
    <row r="29" customFormat="false" ht="15" hidden="false" customHeight="true" outlineLevel="0" collapsed="false">
      <c r="B29" s="34" t="n">
        <v>14</v>
      </c>
      <c r="C29" s="35" t="n">
        <f aca="false">B29/$C$9</f>
        <v>7</v>
      </c>
      <c r="D29" s="31" t="n">
        <v>0</v>
      </c>
      <c r="E29" s="36" t="n">
        <f aca="false">IF(D29=0,0,1/(1+D29/2)^(2*C29))</f>
        <v>0</v>
      </c>
      <c r="F29" s="37" t="n">
        <f aca="false">IF(B29&gt;$C$12,0,IF(B29=$C$12,$C$11+$C$6,$C$11))</f>
        <v>0</v>
      </c>
      <c r="G29" s="37" t="n">
        <f aca="false">F29*E29</f>
        <v>0</v>
      </c>
    </row>
    <row r="30" customFormat="false" ht="15" hidden="false" customHeight="true" outlineLevel="0" collapsed="false">
      <c r="B30" s="29" t="n">
        <v>15</v>
      </c>
      <c r="C30" s="30" t="n">
        <f aca="false">B30/$C$9</f>
        <v>7.5</v>
      </c>
      <c r="D30" s="31" t="n">
        <v>0</v>
      </c>
      <c r="E30" s="32" t="n">
        <f aca="false">IF(D30=0,0,1/(1+D30/2)^(2*C30))</f>
        <v>0</v>
      </c>
      <c r="F30" s="33" t="n">
        <f aca="false">IF(B30&gt;$C$12,0,IF(B30=$C$12,$C$11+$C$6,$C$11))</f>
        <v>0</v>
      </c>
      <c r="G30" s="33" t="n">
        <f aca="false">F30*E30</f>
        <v>0</v>
      </c>
    </row>
    <row r="31" customFormat="false" ht="15" hidden="false" customHeight="true" outlineLevel="0" collapsed="false">
      <c r="B31" s="34" t="n">
        <v>16</v>
      </c>
      <c r="C31" s="35" t="n">
        <f aca="false">B31/$C$9</f>
        <v>8</v>
      </c>
      <c r="D31" s="31" t="n">
        <v>0</v>
      </c>
      <c r="E31" s="36" t="n">
        <f aca="false">IF(D31=0,0,1/(1+D31/2)^(2*C31))</f>
        <v>0</v>
      </c>
      <c r="F31" s="37" t="n">
        <f aca="false">IF(B31&gt;$C$12,0,IF(B31=$C$12,$C$11+$C$6,$C$11))</f>
        <v>0</v>
      </c>
      <c r="G31" s="37" t="n">
        <f aca="false">F31*E31</f>
        <v>0</v>
      </c>
    </row>
    <row r="32" customFormat="false" ht="15" hidden="false" customHeight="true" outlineLevel="0" collapsed="false">
      <c r="B32" s="29" t="n">
        <v>17</v>
      </c>
      <c r="C32" s="30" t="n">
        <f aca="false">B32/$C$9</f>
        <v>8.5</v>
      </c>
      <c r="D32" s="31" t="n">
        <v>0</v>
      </c>
      <c r="E32" s="32" t="n">
        <f aca="false">IF(D32=0,0,1/(1+D32/2)^(2*C32))</f>
        <v>0</v>
      </c>
      <c r="F32" s="33" t="n">
        <f aca="false">IF(B32&gt;$C$12,0,IF(B32=$C$12,$C$11+$C$6,$C$11))</f>
        <v>0</v>
      </c>
      <c r="G32" s="33" t="n">
        <f aca="false">F32*E32</f>
        <v>0</v>
      </c>
    </row>
    <row r="33" customFormat="false" ht="15" hidden="false" customHeight="true" outlineLevel="0" collapsed="false">
      <c r="B33" s="34" t="n">
        <v>18</v>
      </c>
      <c r="C33" s="35" t="n">
        <f aca="false">B33/$C$9</f>
        <v>9</v>
      </c>
      <c r="D33" s="31" t="n">
        <v>0</v>
      </c>
      <c r="E33" s="36" t="n">
        <f aca="false">IF(D33=0,0,1/(1+D33/2)^(2*C33))</f>
        <v>0</v>
      </c>
      <c r="F33" s="37" t="n">
        <f aca="false">IF(B33&gt;$C$12,0,IF(B33=$C$12,$C$11+$C$6,$C$11))</f>
        <v>0</v>
      </c>
      <c r="G33" s="37" t="n">
        <f aca="false">F33*E33</f>
        <v>0</v>
      </c>
    </row>
    <row r="34" customFormat="false" ht="15" hidden="false" customHeight="true" outlineLevel="0" collapsed="false">
      <c r="B34" s="29" t="n">
        <v>19</v>
      </c>
      <c r="C34" s="30" t="n">
        <f aca="false">B34/$C$9</f>
        <v>9.5</v>
      </c>
      <c r="D34" s="31" t="n">
        <v>0</v>
      </c>
      <c r="E34" s="32" t="n">
        <f aca="false">IF(D34=0,0,1/(1+D34/2)^(2*C34))</f>
        <v>0</v>
      </c>
      <c r="F34" s="33" t="n">
        <f aca="false">IF(B34&gt;$C$12,0,IF(B34=$C$12,$C$11+$C$6,$C$11))</f>
        <v>0</v>
      </c>
      <c r="G34" s="33" t="n">
        <f aca="false">F34*E34</f>
        <v>0</v>
      </c>
    </row>
    <row r="35" customFormat="false" ht="15" hidden="false" customHeight="true" outlineLevel="0" collapsed="false">
      <c r="B35" s="34" t="n">
        <v>20</v>
      </c>
      <c r="C35" s="35" t="n">
        <f aca="false">B35/$C$9</f>
        <v>10</v>
      </c>
      <c r="D35" s="31" t="n">
        <v>0</v>
      </c>
      <c r="E35" s="36" t="n">
        <f aca="false">IF(D35=0,0,1/(1+D35/2)^(2*C35))</f>
        <v>0</v>
      </c>
      <c r="F35" s="37" t="n">
        <f aca="false">IF(B35&gt;$C$12,0,IF(B35=$C$12,$C$11+$C$6,$C$11))</f>
        <v>0</v>
      </c>
      <c r="G35" s="37" t="n">
        <f aca="false">F35*E35</f>
        <v>0</v>
      </c>
    </row>
    <row r="36" customFormat="false" ht="15" hidden="false" customHeight="true" outlineLevel="0" collapsed="false">
      <c r="B36" s="8" t="s">
        <v>224</v>
      </c>
      <c r="C36" s="38" t="n">
        <f aca="false">SUM(G16:G35)</f>
        <v>102.331661432541</v>
      </c>
      <c r="D36" s="3" t="s">
        <v>225</v>
      </c>
      <c r="E36" s="3"/>
      <c r="F36" s="3"/>
      <c r="G36" s="3"/>
    </row>
    <row r="37" customFormat="false" ht="7.5" hidden="false" customHeight="true" outlineLevel="0" collapsed="false"/>
    <row r="38" customFormat="false" ht="15" hidden="false" customHeight="true" outlineLevel="0" collapsed="false">
      <c r="B38" s="19" t="s">
        <v>226</v>
      </c>
      <c r="C38" s="19"/>
      <c r="D38" s="19"/>
      <c r="E38" s="19"/>
      <c r="F38" s="19"/>
      <c r="G38" s="19"/>
    </row>
    <row r="39" customFormat="false" ht="15" hidden="false" customHeight="true" outlineLevel="0" collapsed="false">
      <c r="B39" s="9" t="s">
        <v>227</v>
      </c>
      <c r="C39" s="31" t="n">
        <v>0.015</v>
      </c>
      <c r="D39" s="3" t="s">
        <v>228</v>
      </c>
      <c r="E39" s="3"/>
      <c r="F39" s="3"/>
      <c r="G39" s="3"/>
    </row>
    <row r="40" customFormat="false" ht="15" hidden="false" customHeight="true" outlineLevel="0" collapsed="false">
      <c r="B40" s="8" t="s">
        <v>229</v>
      </c>
      <c r="C40" s="38" t="n">
        <f aca="false">-PV(C39/C9,C12,C11,C6)</f>
        <v>102.944582807193</v>
      </c>
      <c r="D40" s="3" t="s">
        <v>230</v>
      </c>
      <c r="E40" s="3"/>
      <c r="F40" s="3"/>
      <c r="G40" s="3"/>
    </row>
    <row r="41" customFormat="false" ht="7.5" hidden="false" customHeight="true" outlineLevel="0" collapsed="false"/>
    <row r="42" customFormat="false" ht="15" hidden="false" customHeight="true" outlineLevel="0" collapsed="false">
      <c r="B42" s="19" t="s">
        <v>231</v>
      </c>
      <c r="C42" s="19"/>
      <c r="D42" s="19"/>
      <c r="E42" s="19"/>
      <c r="F42" s="19"/>
      <c r="G42" s="19"/>
    </row>
    <row r="43" customFormat="false" ht="15" hidden="false" customHeight="true" outlineLevel="0" collapsed="false">
      <c r="B43" s="9" t="s">
        <v>232</v>
      </c>
      <c r="C43" s="39" t="n">
        <v>102.92</v>
      </c>
      <c r="D43" s="3" t="s">
        <v>233</v>
      </c>
      <c r="E43" s="3"/>
      <c r="F43" s="3"/>
      <c r="G43" s="3"/>
    </row>
    <row r="44" customFormat="false" ht="15" hidden="false" customHeight="true" outlineLevel="0" collapsed="false">
      <c r="B44" s="8" t="s">
        <v>234</v>
      </c>
      <c r="C44" s="40" t="n">
        <f aca="false">RATE(C12,C11,-C43,C6)*C9</f>
        <v>0.0151229663437291</v>
      </c>
      <c r="D44" s="3" t="s">
        <v>235</v>
      </c>
      <c r="E44" s="3"/>
      <c r="F44" s="3"/>
      <c r="G44" s="3"/>
    </row>
    <row r="45" customFormat="false" ht="15" hidden="false" customHeight="true" outlineLevel="0" collapsed="false">
      <c r="B45" s="9" t="s">
        <v>236</v>
      </c>
      <c r="C45" s="37" t="n">
        <f aca="false">-PV(C44/C9,C12,C11,C6)</f>
        <v>102.919999999998</v>
      </c>
      <c r="D45" s="41" t="str">
        <f aca="false">IF(ABS(C45-C43)&lt;0.001,"✅ Match","❌ Check")</f>
        <v>✅ Match</v>
      </c>
    </row>
    <row r="46" customFormat="false" ht="7.5" hidden="false" customHeight="true" outlineLevel="0" collapsed="false"/>
    <row r="47" customFormat="false" ht="15" hidden="false" customHeight="true" outlineLevel="0" collapsed="false">
      <c r="B47" s="19" t="s">
        <v>237</v>
      </c>
      <c r="C47" s="19"/>
      <c r="D47" s="19"/>
      <c r="E47" s="19"/>
      <c r="F47" s="19"/>
      <c r="G47" s="19"/>
    </row>
    <row r="48" customFormat="false" ht="15" hidden="false" customHeight="true" outlineLevel="0" collapsed="false">
      <c r="B48" s="9" t="s">
        <v>207</v>
      </c>
      <c r="C48" s="23" t="n">
        <v>100</v>
      </c>
    </row>
    <row r="49" customFormat="false" ht="15" hidden="false" customHeight="true" outlineLevel="0" collapsed="false">
      <c r="B49" s="9" t="s">
        <v>238</v>
      </c>
      <c r="C49" s="31" t="n">
        <v>0.0284</v>
      </c>
    </row>
    <row r="50" customFormat="false" ht="15" hidden="false" customHeight="true" outlineLevel="0" collapsed="false">
      <c r="B50" s="9" t="s">
        <v>211</v>
      </c>
      <c r="C50" s="25" t="n">
        <v>30</v>
      </c>
    </row>
    <row r="51" customFormat="false" ht="15" hidden="false" customHeight="true" outlineLevel="0" collapsed="false">
      <c r="B51" s="9" t="s">
        <v>213</v>
      </c>
      <c r="C51" s="26" t="n">
        <v>2</v>
      </c>
    </row>
    <row r="52" customFormat="false" ht="15" hidden="false" customHeight="true" outlineLevel="0" collapsed="false">
      <c r="B52" s="8" t="s">
        <v>239</v>
      </c>
      <c r="C52" s="38" t="n">
        <f aca="false">C48/(1+C49/C51)^(C50*C51)</f>
        <v>42.9124813106398</v>
      </c>
      <c r="D52" s="3" t="s">
        <v>240</v>
      </c>
      <c r="E52" s="3"/>
      <c r="F52" s="3"/>
      <c r="G52" s="3"/>
    </row>
    <row r="53" customFormat="false" ht="7.5" hidden="false" customHeight="true" outlineLevel="0" collapsed="false"/>
    <row r="54" customFormat="false" ht="15" hidden="false" customHeight="true" outlineLevel="0" collapsed="false">
      <c r="B54" s="19" t="s">
        <v>241</v>
      </c>
      <c r="C54" s="19"/>
      <c r="D54" s="19"/>
      <c r="E54" s="19"/>
      <c r="F54" s="19"/>
      <c r="G54" s="19"/>
    </row>
    <row r="55" customFormat="false" ht="15" hidden="false" customHeight="true" outlineLevel="0" collapsed="false">
      <c r="B55" s="9" t="s">
        <v>242</v>
      </c>
      <c r="C55" s="39" t="n">
        <v>65</v>
      </c>
    </row>
    <row r="56" customFormat="false" ht="15" hidden="false" customHeight="true" outlineLevel="0" collapsed="false">
      <c r="B56" s="9" t="s">
        <v>207</v>
      </c>
      <c r="C56" s="23" t="n">
        <v>100</v>
      </c>
    </row>
    <row r="57" customFormat="false" ht="15" hidden="false" customHeight="true" outlineLevel="0" collapsed="false">
      <c r="B57" s="9" t="s">
        <v>211</v>
      </c>
      <c r="C57" s="25" t="n">
        <v>10</v>
      </c>
    </row>
    <row r="58" customFormat="false" ht="15" hidden="false" customHeight="true" outlineLevel="0" collapsed="false">
      <c r="B58" s="9" t="s">
        <v>213</v>
      </c>
      <c r="C58" s="26" t="n">
        <v>2</v>
      </c>
    </row>
    <row r="59" customFormat="false" ht="15" hidden="false" customHeight="true" outlineLevel="0" collapsed="false">
      <c r="B59" s="8" t="s">
        <v>243</v>
      </c>
      <c r="C59" s="40" t="n">
        <f aca="false">C58*((C56/C55)^(1/(C57*C58))-1)</f>
        <v>0.0435455753448562</v>
      </c>
      <c r="D59" s="3" t="s">
        <v>244</v>
      </c>
      <c r="E59" s="3"/>
      <c r="F59" s="3"/>
      <c r="G59" s="3"/>
    </row>
    <row r="60" customFormat="false" ht="15" hidden="false" customHeight="true" outlineLevel="0" collapsed="false">
      <c r="B60" s="9" t="s">
        <v>245</v>
      </c>
      <c r="C60" s="37" t="n">
        <f aca="false">C56/(1+C59/C58)^(C57*C58)</f>
        <v>64.9999999999999</v>
      </c>
      <c r="D60" s="41" t="str">
        <f aca="false">IF(ABS(C60-C55)&lt;0.001,"✅ Match","❌ Check")</f>
        <v>✅ Match</v>
      </c>
    </row>
    <row r="61" customFormat="false" ht="7.5" hidden="false" customHeight="true" outlineLevel="0" collapsed="false"/>
    <row r="62" customFormat="false" ht="15" hidden="false" customHeight="true" outlineLevel="0" collapsed="false">
      <c r="B62" s="42" t="s">
        <v>246</v>
      </c>
      <c r="C62" s="42"/>
      <c r="D62" s="42"/>
      <c r="E62" s="42"/>
      <c r="F62" s="42"/>
      <c r="G62" s="42"/>
    </row>
    <row r="63" customFormat="false" ht="15" hidden="false" customHeight="true" outlineLevel="0" collapsed="false">
      <c r="B63" s="3" t="s">
        <v>247</v>
      </c>
      <c r="C63" s="3"/>
      <c r="D63" s="3"/>
      <c r="E63" s="3"/>
      <c r="F63" s="3"/>
      <c r="G63" s="3"/>
    </row>
    <row r="64" customFormat="false" ht="15" hidden="false" customHeight="true" outlineLevel="0" collapsed="false">
      <c r="B64" s="3" t="s">
        <v>248</v>
      </c>
      <c r="C64" s="3"/>
      <c r="D64" s="3"/>
      <c r="E64" s="3"/>
      <c r="F64" s="3"/>
      <c r="G64" s="3"/>
    </row>
    <row r="65" customFormat="false" ht="15" hidden="false" customHeight="true" outlineLevel="0" collapsed="false">
      <c r="B65" s="3" t="s">
        <v>249</v>
      </c>
      <c r="C65" s="3"/>
      <c r="D65" s="3"/>
      <c r="E65" s="3"/>
      <c r="F65" s="3"/>
      <c r="G65" s="3"/>
    </row>
    <row r="66" customFormat="false" ht="15" hidden="false" customHeight="true" outlineLevel="0" collapsed="false">
      <c r="B66" s="3" t="s">
        <v>250</v>
      </c>
      <c r="C66" s="3"/>
      <c r="D66" s="3"/>
      <c r="E66" s="3"/>
      <c r="F66" s="3"/>
      <c r="G66" s="3"/>
    </row>
    <row r="67" customFormat="false" ht="15" hidden="false" customHeight="true" outlineLevel="0" collapsed="false">
      <c r="B67" s="3" t="s">
        <v>251</v>
      </c>
      <c r="C67" s="3"/>
      <c r="D67" s="3"/>
      <c r="E67" s="3"/>
      <c r="F67" s="3"/>
      <c r="G67" s="3"/>
    </row>
  </sheetData>
  <mergeCells count="25">
    <mergeCell ref="B2:G2"/>
    <mergeCell ref="B3:G3"/>
    <mergeCell ref="B5:G5"/>
    <mergeCell ref="D6:G6"/>
    <mergeCell ref="D7:G7"/>
    <mergeCell ref="D8:G8"/>
    <mergeCell ref="D9:G9"/>
    <mergeCell ref="B14:G14"/>
    <mergeCell ref="D36:G36"/>
    <mergeCell ref="B38:G38"/>
    <mergeCell ref="D39:G39"/>
    <mergeCell ref="D40:G40"/>
    <mergeCell ref="B42:G42"/>
    <mergeCell ref="D43:G43"/>
    <mergeCell ref="D44:G44"/>
    <mergeCell ref="B47:G47"/>
    <mergeCell ref="D52:G52"/>
    <mergeCell ref="B54:G54"/>
    <mergeCell ref="D59:G59"/>
    <mergeCell ref="B62:G62"/>
    <mergeCell ref="B63:G63"/>
    <mergeCell ref="B64:G64"/>
    <mergeCell ref="B65:G65"/>
    <mergeCell ref="B66:G66"/>
    <mergeCell ref="B67:G6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2" t="s">
        <v>252</v>
      </c>
      <c r="C2" s="22"/>
      <c r="D2" s="22"/>
      <c r="E2" s="22"/>
      <c r="F2" s="22"/>
      <c r="G2" s="22"/>
      <c r="H2" s="22"/>
    </row>
    <row r="3" customFormat="false" ht="54.75" hidden="false" customHeight="true" outlineLevel="0" collapsed="false">
      <c r="B3" s="3" t="s">
        <v>253</v>
      </c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254</v>
      </c>
      <c r="C5" s="19"/>
      <c r="D5" s="19"/>
      <c r="E5" s="19"/>
      <c r="F5" s="19"/>
      <c r="G5" s="19"/>
      <c r="H5" s="19"/>
    </row>
    <row r="6" customFormat="false" ht="15" hidden="false" customHeight="true" outlineLevel="0" collapsed="false">
      <c r="B6" s="9" t="s">
        <v>255</v>
      </c>
      <c r="C6" s="23" t="n">
        <v>100</v>
      </c>
    </row>
    <row r="7" customFormat="false" ht="15" hidden="false" customHeight="true" outlineLevel="0" collapsed="false">
      <c r="B7" s="9" t="s">
        <v>256</v>
      </c>
      <c r="C7" s="24" t="n">
        <v>0.03</v>
      </c>
    </row>
    <row r="8" customFormat="false" ht="15" hidden="false" customHeight="true" outlineLevel="0" collapsed="false">
      <c r="B8" s="9" t="s">
        <v>238</v>
      </c>
      <c r="C8" s="31" t="n">
        <v>0.015</v>
      </c>
    </row>
    <row r="9" customFormat="false" ht="15" hidden="false" customHeight="true" outlineLevel="0" collapsed="false">
      <c r="B9" s="9" t="s">
        <v>211</v>
      </c>
      <c r="C9" s="25" t="n">
        <v>2</v>
      </c>
    </row>
    <row r="10" customFormat="false" ht="15" hidden="false" customHeight="true" outlineLevel="0" collapsed="false">
      <c r="B10" s="9" t="s">
        <v>213</v>
      </c>
      <c r="C10" s="26" t="n">
        <v>2</v>
      </c>
    </row>
    <row r="11" customFormat="false" ht="7.5" hidden="false" customHeight="true" outlineLevel="0" collapsed="false"/>
    <row r="12" customFormat="false" ht="15" hidden="false" customHeight="true" outlineLevel="0" collapsed="false">
      <c r="B12" s="8" t="s">
        <v>215</v>
      </c>
      <c r="C12" s="27" t="n">
        <f aca="false">C6*C7/C10</f>
        <v>1.5</v>
      </c>
    </row>
    <row r="13" customFormat="false" ht="15" hidden="false" customHeight="true" outlineLevel="0" collapsed="false">
      <c r="B13" s="8" t="s">
        <v>216</v>
      </c>
      <c r="C13" s="28" t="n">
        <f aca="false">C9*C10</f>
        <v>4</v>
      </c>
    </row>
    <row r="14" customFormat="false" ht="7.5" hidden="false" customHeight="true" outlineLevel="0" collapsed="false"/>
    <row r="15" customFormat="false" ht="15" hidden="false" customHeight="true" outlineLevel="0" collapsed="false">
      <c r="B15" s="19" t="s">
        <v>257</v>
      </c>
      <c r="C15" s="19"/>
      <c r="D15" s="19"/>
      <c r="E15" s="19"/>
      <c r="F15" s="19"/>
      <c r="G15" s="19"/>
      <c r="H15" s="19"/>
    </row>
    <row r="16" customFormat="false" ht="21.75" hidden="false" customHeight="true" outlineLevel="0" collapsed="false">
      <c r="B16" s="16" t="s">
        <v>258</v>
      </c>
      <c r="C16" s="16" t="s">
        <v>219</v>
      </c>
      <c r="D16" s="16" t="s">
        <v>222</v>
      </c>
      <c r="E16" s="16" t="s">
        <v>259</v>
      </c>
      <c r="F16" s="16" t="s">
        <v>260</v>
      </c>
      <c r="G16" s="16" t="s">
        <v>261</v>
      </c>
    </row>
    <row r="17" customFormat="false" ht="15" hidden="false" customHeight="true" outlineLevel="0" collapsed="false">
      <c r="B17" s="29" t="n">
        <v>1</v>
      </c>
      <c r="C17" s="30" t="n">
        <f aca="false">B17/$C$10</f>
        <v>0.5</v>
      </c>
      <c r="D17" s="33" t="n">
        <f aca="false">IF(B17&gt;$C$13,0,IF(B17=$C$13,$C$12+$C$6,$C$12))</f>
        <v>1.5</v>
      </c>
      <c r="E17" s="33" t="n">
        <f aca="false">D17/(1+$C$8/$C$10)^B17</f>
        <v>1.48883374689826</v>
      </c>
      <c r="F17" s="32" t="n">
        <f aca="false">IFERROR(E17/C37,0)</f>
        <v>0.0144624778332118</v>
      </c>
      <c r="G17" s="32" t="n">
        <f aca="false">C17*F17</f>
        <v>0.00723123891660591</v>
      </c>
    </row>
    <row r="18" customFormat="false" ht="15" hidden="false" customHeight="true" outlineLevel="0" collapsed="false">
      <c r="B18" s="34" t="n">
        <v>2</v>
      </c>
      <c r="C18" s="35" t="n">
        <f aca="false">B18/$C$10</f>
        <v>1</v>
      </c>
      <c r="D18" s="37" t="n">
        <f aca="false">IF(B18&gt;$C$13,0,IF(B18=$C$13,$C$12+$C$6,$C$12))</f>
        <v>1.5</v>
      </c>
      <c r="E18" s="37" t="n">
        <f aca="false">D18/(1+$C$8/$C$10)^B18</f>
        <v>1.47775061726875</v>
      </c>
      <c r="F18" s="36" t="n">
        <f aca="false">IFERROR(E18/C37,0)</f>
        <v>0.0143548167079025</v>
      </c>
      <c r="G18" s="36" t="n">
        <f aca="false">C18*F18</f>
        <v>0.0143548167079025</v>
      </c>
    </row>
    <row r="19" customFormat="false" ht="15" hidden="false" customHeight="true" outlineLevel="0" collapsed="false">
      <c r="B19" s="29" t="n">
        <v>3</v>
      </c>
      <c r="C19" s="30" t="n">
        <f aca="false">B19/$C$10</f>
        <v>1.5</v>
      </c>
      <c r="D19" s="33" t="n">
        <f aca="false">IF(B19&gt;$C$13,0,IF(B19=$C$13,$C$12+$C$6,$C$12))</f>
        <v>1.5</v>
      </c>
      <c r="E19" s="33" t="n">
        <f aca="false">D19/(1+$C$8/$C$10)^B19</f>
        <v>1.4667499923263</v>
      </c>
      <c r="F19" s="32" t="n">
        <f aca="false">IFERROR(E19/C37,0)</f>
        <v>0.0142479570301762</v>
      </c>
      <c r="G19" s="32" t="n">
        <f aca="false">C19*F19</f>
        <v>0.0213719355452643</v>
      </c>
    </row>
    <row r="20" customFormat="false" ht="15" hidden="false" customHeight="true" outlineLevel="0" collapsed="false">
      <c r="B20" s="34" t="n">
        <v>4</v>
      </c>
      <c r="C20" s="35" t="n">
        <f aca="false">B20/$C$10</f>
        <v>2</v>
      </c>
      <c r="D20" s="37" t="n">
        <f aca="false">IF(B20&gt;$C$13,0,IF(B20=$C$13,$C$12+$C$6,$C$12))</f>
        <v>101.5</v>
      </c>
      <c r="E20" s="37" t="n">
        <f aca="false">D20/(1+$C$8/$C$10)^B20</f>
        <v>98.5112484506994</v>
      </c>
      <c r="F20" s="36" t="n">
        <f aca="false">IFERROR(E20/C37,0)</f>
        <v>0.956934748428709</v>
      </c>
      <c r="G20" s="36" t="n">
        <f aca="false">C20*F20</f>
        <v>1.91386949685742</v>
      </c>
    </row>
    <row r="21" customFormat="false" ht="15" hidden="false" customHeight="true" outlineLevel="0" collapsed="false">
      <c r="B21" s="29" t="n">
        <v>5</v>
      </c>
      <c r="C21" s="30" t="n">
        <f aca="false">B21/$C$10</f>
        <v>2.5</v>
      </c>
      <c r="D21" s="33" t="n">
        <f aca="false">IF(B21&gt;$C$13,0,IF(B21=$C$13,$C$12+$C$6,$C$12))</f>
        <v>0</v>
      </c>
      <c r="E21" s="33" t="n">
        <f aca="false">D21/(1+$C$8/$C$10)^B21</f>
        <v>0</v>
      </c>
      <c r="F21" s="32" t="n">
        <f aca="false">IFERROR(E21/C37,0)</f>
        <v>0</v>
      </c>
      <c r="G21" s="32" t="n">
        <f aca="false">C21*F21</f>
        <v>0</v>
      </c>
    </row>
    <row r="22" customFormat="false" ht="15" hidden="false" customHeight="true" outlineLevel="0" collapsed="false">
      <c r="B22" s="34" t="n">
        <v>6</v>
      </c>
      <c r="C22" s="35" t="n">
        <f aca="false">B22/$C$10</f>
        <v>3</v>
      </c>
      <c r="D22" s="37" t="n">
        <f aca="false">IF(B22&gt;$C$13,0,IF(B22=$C$13,$C$12+$C$6,$C$12))</f>
        <v>0</v>
      </c>
      <c r="E22" s="37" t="n">
        <f aca="false">D22/(1+$C$8/$C$10)^B22</f>
        <v>0</v>
      </c>
      <c r="F22" s="36" t="n">
        <f aca="false">IFERROR(E22/C37,0)</f>
        <v>0</v>
      </c>
      <c r="G22" s="36" t="n">
        <f aca="false">C22*F22</f>
        <v>0</v>
      </c>
    </row>
    <row r="23" customFormat="false" ht="15" hidden="false" customHeight="true" outlineLevel="0" collapsed="false">
      <c r="B23" s="29" t="n">
        <v>7</v>
      </c>
      <c r="C23" s="30" t="n">
        <f aca="false">B23/$C$10</f>
        <v>3.5</v>
      </c>
      <c r="D23" s="33" t="n">
        <f aca="false">IF(B23&gt;$C$13,0,IF(B23=$C$13,$C$12+$C$6,$C$12))</f>
        <v>0</v>
      </c>
      <c r="E23" s="33" t="n">
        <f aca="false">D23/(1+$C$8/$C$10)^B23</f>
        <v>0</v>
      </c>
      <c r="F23" s="32" t="n">
        <f aca="false">IFERROR(E23/C37,0)</f>
        <v>0</v>
      </c>
      <c r="G23" s="32" t="n">
        <f aca="false">C23*F23</f>
        <v>0</v>
      </c>
    </row>
    <row r="24" customFormat="false" ht="15" hidden="false" customHeight="true" outlineLevel="0" collapsed="false">
      <c r="B24" s="34" t="n">
        <v>8</v>
      </c>
      <c r="C24" s="35" t="n">
        <f aca="false">B24/$C$10</f>
        <v>4</v>
      </c>
      <c r="D24" s="37" t="n">
        <f aca="false">IF(B24&gt;$C$13,0,IF(B24=$C$13,$C$12+$C$6,$C$12))</f>
        <v>0</v>
      </c>
      <c r="E24" s="37" t="n">
        <f aca="false">D24/(1+$C$8/$C$10)^B24</f>
        <v>0</v>
      </c>
      <c r="F24" s="36" t="n">
        <f aca="false">IFERROR(E24/C37,0)</f>
        <v>0</v>
      </c>
      <c r="G24" s="36" t="n">
        <f aca="false">C24*F24</f>
        <v>0</v>
      </c>
    </row>
    <row r="25" customFormat="false" ht="15" hidden="false" customHeight="true" outlineLevel="0" collapsed="false">
      <c r="B25" s="29" t="n">
        <v>9</v>
      </c>
      <c r="C25" s="30" t="n">
        <f aca="false">B25/$C$10</f>
        <v>4.5</v>
      </c>
      <c r="D25" s="33" t="n">
        <f aca="false">IF(B25&gt;$C$13,0,IF(B25=$C$13,$C$12+$C$6,$C$12))</f>
        <v>0</v>
      </c>
      <c r="E25" s="33" t="n">
        <f aca="false">D25/(1+$C$8/$C$10)^B25</f>
        <v>0</v>
      </c>
      <c r="F25" s="32" t="n">
        <f aca="false">IFERROR(E25/C37,0)</f>
        <v>0</v>
      </c>
      <c r="G25" s="32" t="n">
        <f aca="false">C25*F25</f>
        <v>0</v>
      </c>
    </row>
    <row r="26" customFormat="false" ht="15" hidden="false" customHeight="true" outlineLevel="0" collapsed="false">
      <c r="B26" s="34" t="n">
        <v>10</v>
      </c>
      <c r="C26" s="35" t="n">
        <f aca="false">B26/$C$10</f>
        <v>5</v>
      </c>
      <c r="D26" s="37" t="n">
        <f aca="false">IF(B26&gt;$C$13,0,IF(B26=$C$13,$C$12+$C$6,$C$12))</f>
        <v>0</v>
      </c>
      <c r="E26" s="37" t="n">
        <f aca="false">D26/(1+$C$8/$C$10)^B26</f>
        <v>0</v>
      </c>
      <c r="F26" s="36" t="n">
        <f aca="false">IFERROR(E26/C37,0)</f>
        <v>0</v>
      </c>
      <c r="G26" s="36" t="n">
        <f aca="false">C26*F26</f>
        <v>0</v>
      </c>
    </row>
    <row r="27" customFormat="false" ht="15" hidden="false" customHeight="true" outlineLevel="0" collapsed="false">
      <c r="B27" s="29" t="n">
        <v>11</v>
      </c>
      <c r="C27" s="30" t="n">
        <f aca="false">B27/$C$10</f>
        <v>5.5</v>
      </c>
      <c r="D27" s="33" t="n">
        <f aca="false">IF(B27&gt;$C$13,0,IF(B27=$C$13,$C$12+$C$6,$C$12))</f>
        <v>0</v>
      </c>
      <c r="E27" s="33" t="n">
        <f aca="false">D27/(1+$C$8/$C$10)^B27</f>
        <v>0</v>
      </c>
      <c r="F27" s="32" t="n">
        <f aca="false">IFERROR(E27/C37,0)</f>
        <v>0</v>
      </c>
      <c r="G27" s="32" t="n">
        <f aca="false">C27*F27</f>
        <v>0</v>
      </c>
    </row>
    <row r="28" customFormat="false" ht="15" hidden="false" customHeight="true" outlineLevel="0" collapsed="false">
      <c r="B28" s="34" t="n">
        <v>12</v>
      </c>
      <c r="C28" s="35" t="n">
        <f aca="false">B28/$C$10</f>
        <v>6</v>
      </c>
      <c r="D28" s="37" t="n">
        <f aca="false">IF(B28&gt;$C$13,0,IF(B28=$C$13,$C$12+$C$6,$C$12))</f>
        <v>0</v>
      </c>
      <c r="E28" s="37" t="n">
        <f aca="false">D28/(1+$C$8/$C$10)^B28</f>
        <v>0</v>
      </c>
      <c r="F28" s="36" t="n">
        <f aca="false">IFERROR(E28/C37,0)</f>
        <v>0</v>
      </c>
      <c r="G28" s="36" t="n">
        <f aca="false">C28*F28</f>
        <v>0</v>
      </c>
    </row>
    <row r="29" customFormat="false" ht="15" hidden="false" customHeight="true" outlineLevel="0" collapsed="false">
      <c r="B29" s="29" t="n">
        <v>13</v>
      </c>
      <c r="C29" s="30" t="n">
        <f aca="false">B29/$C$10</f>
        <v>6.5</v>
      </c>
      <c r="D29" s="33" t="n">
        <f aca="false">IF(B29&gt;$C$13,0,IF(B29=$C$13,$C$12+$C$6,$C$12))</f>
        <v>0</v>
      </c>
      <c r="E29" s="33" t="n">
        <f aca="false">D29/(1+$C$8/$C$10)^B29</f>
        <v>0</v>
      </c>
      <c r="F29" s="32" t="n">
        <f aca="false">IFERROR(E29/C37,0)</f>
        <v>0</v>
      </c>
      <c r="G29" s="32" t="n">
        <f aca="false">C29*F29</f>
        <v>0</v>
      </c>
    </row>
    <row r="30" customFormat="false" ht="15" hidden="false" customHeight="true" outlineLevel="0" collapsed="false">
      <c r="B30" s="34" t="n">
        <v>14</v>
      </c>
      <c r="C30" s="35" t="n">
        <f aca="false">B30/$C$10</f>
        <v>7</v>
      </c>
      <c r="D30" s="37" t="n">
        <f aca="false">IF(B30&gt;$C$13,0,IF(B30=$C$13,$C$12+$C$6,$C$12))</f>
        <v>0</v>
      </c>
      <c r="E30" s="37" t="n">
        <f aca="false">D30/(1+$C$8/$C$10)^B30</f>
        <v>0</v>
      </c>
      <c r="F30" s="36" t="n">
        <f aca="false">IFERROR(E30/C37,0)</f>
        <v>0</v>
      </c>
      <c r="G30" s="36" t="n">
        <f aca="false">C30*F30</f>
        <v>0</v>
      </c>
    </row>
    <row r="31" customFormat="false" ht="15" hidden="false" customHeight="true" outlineLevel="0" collapsed="false">
      <c r="B31" s="29" t="n">
        <v>15</v>
      </c>
      <c r="C31" s="30" t="n">
        <f aca="false">B31/$C$10</f>
        <v>7.5</v>
      </c>
      <c r="D31" s="33" t="n">
        <f aca="false">IF(B31&gt;$C$13,0,IF(B31=$C$13,$C$12+$C$6,$C$12))</f>
        <v>0</v>
      </c>
      <c r="E31" s="33" t="n">
        <f aca="false">D31/(1+$C$8/$C$10)^B31</f>
        <v>0</v>
      </c>
      <c r="F31" s="32" t="n">
        <f aca="false">IFERROR(E31/C37,0)</f>
        <v>0</v>
      </c>
      <c r="G31" s="32" t="n">
        <f aca="false">C31*F31</f>
        <v>0</v>
      </c>
    </row>
    <row r="32" customFormat="false" ht="15" hidden="false" customHeight="true" outlineLevel="0" collapsed="false">
      <c r="B32" s="34" t="n">
        <v>16</v>
      </c>
      <c r="C32" s="35" t="n">
        <f aca="false">B32/$C$10</f>
        <v>8</v>
      </c>
      <c r="D32" s="37" t="n">
        <f aca="false">IF(B32&gt;$C$13,0,IF(B32=$C$13,$C$12+$C$6,$C$12))</f>
        <v>0</v>
      </c>
      <c r="E32" s="37" t="n">
        <f aca="false">D32/(1+$C$8/$C$10)^B32</f>
        <v>0</v>
      </c>
      <c r="F32" s="36" t="n">
        <f aca="false">IFERROR(E32/C37,0)</f>
        <v>0</v>
      </c>
      <c r="G32" s="36" t="n">
        <f aca="false">C32*F32</f>
        <v>0</v>
      </c>
    </row>
    <row r="33" customFormat="false" ht="15" hidden="false" customHeight="true" outlineLevel="0" collapsed="false">
      <c r="B33" s="29" t="n">
        <v>17</v>
      </c>
      <c r="C33" s="30" t="n">
        <f aca="false">B33/$C$10</f>
        <v>8.5</v>
      </c>
      <c r="D33" s="33" t="n">
        <f aca="false">IF(B33&gt;$C$13,0,IF(B33=$C$13,$C$12+$C$6,$C$12))</f>
        <v>0</v>
      </c>
      <c r="E33" s="33" t="n">
        <f aca="false">D33/(1+$C$8/$C$10)^B33</f>
        <v>0</v>
      </c>
      <c r="F33" s="32" t="n">
        <f aca="false">IFERROR(E33/C37,0)</f>
        <v>0</v>
      </c>
      <c r="G33" s="32" t="n">
        <f aca="false">C33*F33</f>
        <v>0</v>
      </c>
    </row>
    <row r="34" customFormat="false" ht="15" hidden="false" customHeight="true" outlineLevel="0" collapsed="false">
      <c r="B34" s="34" t="n">
        <v>18</v>
      </c>
      <c r="C34" s="35" t="n">
        <f aca="false">B34/$C$10</f>
        <v>9</v>
      </c>
      <c r="D34" s="37" t="n">
        <f aca="false">IF(B34&gt;$C$13,0,IF(B34=$C$13,$C$12+$C$6,$C$12))</f>
        <v>0</v>
      </c>
      <c r="E34" s="37" t="n">
        <f aca="false">D34/(1+$C$8/$C$10)^B34</f>
        <v>0</v>
      </c>
      <c r="F34" s="36" t="n">
        <f aca="false">IFERROR(E34/C37,0)</f>
        <v>0</v>
      </c>
      <c r="G34" s="36" t="n">
        <f aca="false">C34*F34</f>
        <v>0</v>
      </c>
    </row>
    <row r="35" customFormat="false" ht="15" hidden="false" customHeight="true" outlineLevel="0" collapsed="false">
      <c r="B35" s="29" t="n">
        <v>19</v>
      </c>
      <c r="C35" s="30" t="n">
        <f aca="false">B35/$C$10</f>
        <v>9.5</v>
      </c>
      <c r="D35" s="33" t="n">
        <f aca="false">IF(B35&gt;$C$13,0,IF(B35=$C$13,$C$12+$C$6,$C$12))</f>
        <v>0</v>
      </c>
      <c r="E35" s="33" t="n">
        <f aca="false">D35/(1+$C$8/$C$10)^B35</f>
        <v>0</v>
      </c>
      <c r="F35" s="32" t="n">
        <f aca="false">IFERROR(E35/C37,0)</f>
        <v>0</v>
      </c>
      <c r="G35" s="32" t="n">
        <f aca="false">C35*F35</f>
        <v>0</v>
      </c>
    </row>
    <row r="36" customFormat="false" ht="15" hidden="false" customHeight="true" outlineLevel="0" collapsed="false">
      <c r="B36" s="34" t="n">
        <v>20</v>
      </c>
      <c r="C36" s="35" t="n">
        <f aca="false">B36/$C$10</f>
        <v>10</v>
      </c>
      <c r="D36" s="37" t="n">
        <f aca="false">IF(B36&gt;$C$13,0,IF(B36=$C$13,$C$12+$C$6,$C$12))</f>
        <v>0</v>
      </c>
      <c r="E36" s="37" t="n">
        <f aca="false">D36/(1+$C$8/$C$10)^B36</f>
        <v>0</v>
      </c>
      <c r="F36" s="36" t="n">
        <f aca="false">IFERROR(E36/C37,0)</f>
        <v>0</v>
      </c>
      <c r="G36" s="36" t="n">
        <f aca="false">C36*F36</f>
        <v>0</v>
      </c>
    </row>
    <row r="37" customFormat="false" ht="15" hidden="false" customHeight="true" outlineLevel="0" collapsed="false">
      <c r="B37" s="8" t="s">
        <v>262</v>
      </c>
      <c r="C37" s="38" t="n">
        <f aca="false">SUM(E17:E36)</f>
        <v>102.944582807193</v>
      </c>
      <c r="D37" s="37" t="n">
        <f aca="false">-PV(C8/C10,C13,C12,C6)</f>
        <v>102.944582807193</v>
      </c>
      <c r="E37" s="41" t="str">
        <f aca="false">IF(ABS(C37-D37)&lt;0.001,"✅ Match","❌ Check")</f>
        <v>✅ Match</v>
      </c>
      <c r="F37" s="3" t="s">
        <v>263</v>
      </c>
      <c r="G37" s="3"/>
      <c r="H37" s="3"/>
    </row>
    <row r="38" customFormat="false" ht="7.5" hidden="false" customHeight="true" outlineLevel="0" collapsed="false"/>
    <row r="39" customFormat="false" ht="15" hidden="false" customHeight="true" outlineLevel="0" collapsed="false">
      <c r="B39" s="19" t="s">
        <v>264</v>
      </c>
      <c r="C39" s="19"/>
      <c r="D39" s="19"/>
      <c r="E39" s="19"/>
      <c r="F39" s="19"/>
      <c r="G39" s="19"/>
      <c r="H39" s="19"/>
    </row>
    <row r="40" customFormat="false" ht="20.25" hidden="false" customHeight="true" outlineLevel="0" collapsed="false">
      <c r="B40" s="8" t="s">
        <v>265</v>
      </c>
      <c r="C40" s="43" t="n">
        <f aca="false">SUMPRODUCT(B17:B36,F17:F36)</f>
        <v>3.91365497605438</v>
      </c>
      <c r="D40" s="3" t="s">
        <v>266</v>
      </c>
      <c r="E40" s="3"/>
      <c r="F40" s="3"/>
      <c r="G40" s="3"/>
      <c r="H40" s="3"/>
    </row>
    <row r="41" customFormat="false" ht="15" hidden="false" customHeight="true" outlineLevel="0" collapsed="false">
      <c r="B41" s="8" t="s">
        <v>267</v>
      </c>
      <c r="C41" s="43" t="n">
        <f aca="false">C40/C10</f>
        <v>1.95682748802719</v>
      </c>
      <c r="D41" s="3" t="s">
        <v>268</v>
      </c>
      <c r="E41" s="3"/>
      <c r="F41" s="3"/>
      <c r="G41" s="3"/>
      <c r="H41" s="3"/>
    </row>
    <row r="42" customFormat="false" ht="15" hidden="false" customHeight="true" outlineLevel="0" collapsed="false">
      <c r="B42" s="8" t="s">
        <v>269</v>
      </c>
      <c r="C42" s="43" t="n">
        <f aca="false">C41/(1+C8/C10)</f>
        <v>1.94226053402203</v>
      </c>
      <c r="D42" s="3" t="s">
        <v>270</v>
      </c>
      <c r="E42" s="3"/>
      <c r="F42" s="3"/>
      <c r="G42" s="3"/>
      <c r="H42" s="3"/>
    </row>
    <row r="43" customFormat="false" ht="7.5" hidden="false" customHeight="true" outlineLevel="0" collapsed="false"/>
    <row r="44" customFormat="false" ht="15" hidden="false" customHeight="true" outlineLevel="0" collapsed="false">
      <c r="B44" s="19" t="s">
        <v>271</v>
      </c>
      <c r="C44" s="19"/>
      <c r="D44" s="19"/>
      <c r="E44" s="19"/>
      <c r="F44" s="19"/>
      <c r="G44" s="19"/>
      <c r="H44" s="19"/>
    </row>
    <row r="45" customFormat="false" ht="15" hidden="false" customHeight="true" outlineLevel="0" collapsed="false">
      <c r="B45" s="9" t="s">
        <v>272</v>
      </c>
      <c r="C45" s="44" t="n">
        <f aca="false">C8</f>
        <v>0.015</v>
      </c>
    </row>
    <row r="46" customFormat="false" ht="15" hidden="false" customHeight="true" outlineLevel="0" collapsed="false">
      <c r="B46" s="9" t="s">
        <v>273</v>
      </c>
      <c r="C46" s="24" t="n">
        <v>0.02</v>
      </c>
      <c r="D46" s="3" t="s">
        <v>274</v>
      </c>
      <c r="E46" s="3"/>
      <c r="F46" s="3"/>
      <c r="G46" s="3"/>
      <c r="H46" s="3"/>
    </row>
    <row r="47" customFormat="false" ht="15" hidden="false" customHeight="true" outlineLevel="0" collapsed="false">
      <c r="B47" s="9" t="s">
        <v>275</v>
      </c>
      <c r="C47" s="44" t="n">
        <f aca="false">C45+C46</f>
        <v>0.035</v>
      </c>
    </row>
    <row r="48" customFormat="false" ht="15" hidden="false" customHeight="true" outlineLevel="0" collapsed="false">
      <c r="B48" s="9" t="s">
        <v>276</v>
      </c>
      <c r="C48" s="45" t="n">
        <v>100000000</v>
      </c>
      <c r="D48" s="3" t="s">
        <v>277</v>
      </c>
      <c r="E48" s="3"/>
      <c r="F48" s="3"/>
      <c r="G48" s="3"/>
      <c r="H48" s="3"/>
    </row>
    <row r="49" customFormat="false" ht="15" hidden="false" customHeight="true" outlineLevel="0" collapsed="false">
      <c r="B49" s="8" t="s">
        <v>278</v>
      </c>
      <c r="C49" s="40" t="n">
        <f aca="false">-C42*C46</f>
        <v>-0.0388452106804405</v>
      </c>
      <c r="D49" s="3" t="s">
        <v>279</v>
      </c>
      <c r="E49" s="3"/>
      <c r="F49" s="3"/>
      <c r="G49" s="3"/>
      <c r="H49" s="3"/>
    </row>
    <row r="50" customFormat="false" ht="15" hidden="false" customHeight="true" outlineLevel="0" collapsed="false">
      <c r="B50" s="8" t="s">
        <v>280</v>
      </c>
      <c r="C50" s="38" t="n">
        <f aca="false">C37*C49</f>
        <v>-3.99890400755546</v>
      </c>
    </row>
    <row r="51" customFormat="false" ht="15" hidden="false" customHeight="true" outlineLevel="0" collapsed="false">
      <c r="B51" s="8" t="s">
        <v>281</v>
      </c>
      <c r="C51" s="46" t="n">
        <f aca="false">C48*C49</f>
        <v>-3884521.06804405</v>
      </c>
    </row>
    <row r="52" customFormat="false" ht="20.25" hidden="false" customHeight="true" outlineLevel="0" collapsed="false">
      <c r="B52" s="8" t="s">
        <v>282</v>
      </c>
      <c r="C52" s="38" t="n">
        <f aca="false">C37*(1+C49)</f>
        <v>98.9456787996372</v>
      </c>
    </row>
    <row r="53" customFormat="false" ht="20.25" hidden="false" customHeight="true" outlineLevel="0" collapsed="false">
      <c r="B53" s="9" t="s">
        <v>283</v>
      </c>
      <c r="C53" s="37" t="n">
        <f aca="false">-PV(C47/C10,C13,C12,C6)</f>
        <v>99.0422643651104</v>
      </c>
    </row>
    <row r="54" customFormat="false" ht="15" hidden="false" customHeight="true" outlineLevel="0" collapsed="false">
      <c r="B54" s="9" t="s">
        <v>284</v>
      </c>
      <c r="D54" s="37" t="n">
        <f aca="false">C52-C53</f>
        <v>-0.0965855654731911</v>
      </c>
      <c r="E54" s="41" t="str">
        <f aca="false">IF(ABS(D54)&lt;0.01,"✅ Small error","⚠️ Large error (convexity matters)")</f>
        <v>⚠️ Large error (convexity matters)</v>
      </c>
    </row>
    <row r="55" customFormat="false" ht="7.5" hidden="false" customHeight="true" outlineLevel="0" collapsed="false"/>
    <row r="56" customFormat="false" ht="15" hidden="false" customHeight="true" outlineLevel="0" collapsed="false">
      <c r="B56" s="19" t="s">
        <v>285</v>
      </c>
      <c r="C56" s="19"/>
      <c r="D56" s="19"/>
      <c r="E56" s="19"/>
      <c r="F56" s="19"/>
      <c r="G56" s="19"/>
      <c r="H56" s="19"/>
    </row>
    <row r="57" customFormat="false" ht="21.75" hidden="false" customHeight="true" outlineLevel="0" collapsed="false">
      <c r="B57" s="16" t="s">
        <v>286</v>
      </c>
      <c r="C57" s="16" t="s">
        <v>287</v>
      </c>
      <c r="D57" s="16" t="s">
        <v>288</v>
      </c>
      <c r="E57" s="16" t="s">
        <v>289</v>
      </c>
      <c r="F57" s="16" t="s">
        <v>290</v>
      </c>
      <c r="G57" s="16" t="s">
        <v>291</v>
      </c>
    </row>
    <row r="58" customFormat="false" ht="15" hidden="false" customHeight="true" outlineLevel="0" collapsed="false">
      <c r="B58" s="7" t="s">
        <v>292</v>
      </c>
      <c r="C58" s="23" t="n">
        <v>1000</v>
      </c>
      <c r="D58" s="47" t="n">
        <v>5</v>
      </c>
      <c r="E58" s="48" t="n">
        <f aca="false">C58*D58</f>
        <v>5000</v>
      </c>
      <c r="F58" s="49" t="n">
        <f aca="false">IFERROR(C58/C63,0)</f>
        <v>0.285714285714286</v>
      </c>
      <c r="G58" s="50" t="n">
        <f aca="false">F58*D58</f>
        <v>1.42857142857143</v>
      </c>
    </row>
    <row r="59" customFormat="false" ht="15" hidden="false" customHeight="true" outlineLevel="0" collapsed="false">
      <c r="B59" s="9" t="s">
        <v>293</v>
      </c>
      <c r="C59" s="23" t="n">
        <v>2500</v>
      </c>
      <c r="D59" s="47" t="n">
        <v>20</v>
      </c>
      <c r="E59" s="51" t="n">
        <f aca="false">C59*D59</f>
        <v>50000</v>
      </c>
      <c r="F59" s="52" t="n">
        <f aca="false">IFERROR(C59/C63,0)</f>
        <v>0.714285714285714</v>
      </c>
      <c r="G59" s="53" t="n">
        <f aca="false">F59*D59</f>
        <v>14.2857142857143</v>
      </c>
    </row>
    <row r="60" customFormat="false" ht="15" hidden="false" customHeight="true" outlineLevel="0" collapsed="false">
      <c r="B60" s="7" t="s">
        <v>294</v>
      </c>
      <c r="C60" s="23" t="n">
        <v>0</v>
      </c>
      <c r="D60" s="47" t="n">
        <v>0</v>
      </c>
      <c r="E60" s="48" t="n">
        <f aca="false">C60*D60</f>
        <v>0</v>
      </c>
      <c r="F60" s="49" t="n">
        <f aca="false">IFERROR(C60/C63,0)</f>
        <v>0</v>
      </c>
      <c r="G60" s="50" t="n">
        <f aca="false">F60*D60</f>
        <v>0</v>
      </c>
    </row>
    <row r="61" customFormat="false" ht="15" hidden="false" customHeight="true" outlineLevel="0" collapsed="false">
      <c r="B61" s="9" t="s">
        <v>295</v>
      </c>
      <c r="C61" s="23" t="n">
        <v>0</v>
      </c>
      <c r="D61" s="47" t="n">
        <v>0</v>
      </c>
      <c r="E61" s="51" t="n">
        <f aca="false">C61*D61</f>
        <v>0</v>
      </c>
      <c r="F61" s="52" t="n">
        <f aca="false">IFERROR(C61/C63,0)</f>
        <v>0</v>
      </c>
      <c r="G61" s="53" t="n">
        <f aca="false">F61*D61</f>
        <v>0</v>
      </c>
    </row>
    <row r="62" customFormat="false" ht="15" hidden="false" customHeight="true" outlineLevel="0" collapsed="false">
      <c r="B62" s="7" t="s">
        <v>296</v>
      </c>
      <c r="C62" s="23" t="n">
        <v>0</v>
      </c>
      <c r="D62" s="47" t="n">
        <v>0</v>
      </c>
      <c r="E62" s="48" t="n">
        <f aca="false">C62*D62</f>
        <v>0</v>
      </c>
      <c r="F62" s="49" t="n">
        <f aca="false">IFERROR(C62/C63,0)</f>
        <v>0</v>
      </c>
      <c r="G62" s="50" t="n">
        <f aca="false">F62*D62</f>
        <v>0</v>
      </c>
    </row>
    <row r="63" customFormat="false" ht="15" hidden="false" customHeight="true" outlineLevel="0" collapsed="false">
      <c r="B63" s="8" t="s">
        <v>297</v>
      </c>
      <c r="C63" s="54" t="n">
        <f aca="false">SUM(C58:C62)</f>
        <v>3500</v>
      </c>
      <c r="E63" s="54" t="n">
        <f aca="false">SUM(E58:E62)</f>
        <v>55000</v>
      </c>
    </row>
    <row r="64" customFormat="false" ht="15" hidden="false" customHeight="true" outlineLevel="0" collapsed="false">
      <c r="B64" s="8" t="s">
        <v>298</v>
      </c>
      <c r="C64" s="43" t="n">
        <f aca="false">IFERROR(C63/C63,0)</f>
        <v>1</v>
      </c>
      <c r="D64" s="43" t="n">
        <f aca="false">IFERROR(E63/C63,0)</f>
        <v>15.7142857142857</v>
      </c>
      <c r="E64" s="3" t="s">
        <v>299</v>
      </c>
      <c r="F64" s="3"/>
      <c r="G64" s="3"/>
      <c r="H64" s="3"/>
    </row>
    <row r="65" customFormat="false" ht="7.5" hidden="false" customHeight="true" outlineLevel="0" collapsed="false"/>
    <row r="66" customFormat="false" ht="15" hidden="false" customHeight="true" outlineLevel="0" collapsed="false">
      <c r="B66" s="19" t="s">
        <v>300</v>
      </c>
      <c r="C66" s="19"/>
      <c r="D66" s="19"/>
      <c r="E66" s="19"/>
      <c r="F66" s="19"/>
      <c r="G66" s="19"/>
      <c r="H66" s="19"/>
    </row>
    <row r="67" customFormat="false" ht="15" hidden="false" customHeight="true" outlineLevel="0" collapsed="false">
      <c r="B67" s="9" t="s">
        <v>301</v>
      </c>
      <c r="C67" s="23" t="n">
        <v>100000000</v>
      </c>
    </row>
    <row r="68" customFormat="false" ht="20.25" hidden="false" customHeight="true" outlineLevel="0" collapsed="false">
      <c r="B68" s="9" t="s">
        <v>302</v>
      </c>
      <c r="C68" s="47" t="n">
        <v>0</v>
      </c>
      <c r="D68" s="3" t="s">
        <v>303</v>
      </c>
      <c r="E68" s="3"/>
      <c r="F68" s="3"/>
      <c r="G68" s="3"/>
      <c r="H68" s="3"/>
    </row>
    <row r="69" customFormat="false" ht="20.25" hidden="false" customHeight="true" outlineLevel="0" collapsed="false">
      <c r="B69" s="9" t="s">
        <v>304</v>
      </c>
      <c r="C69" s="47" t="n">
        <v>3</v>
      </c>
    </row>
    <row r="70" customFormat="false" ht="10.5" hidden="false" customHeight="true" outlineLevel="0" collapsed="false">
      <c r="B70" s="8" t="s">
        <v>305</v>
      </c>
      <c r="C70" s="46" t="n">
        <f aca="false">-(C67*C68)/C69</f>
        <v>-0</v>
      </c>
      <c r="D70" s="3" t="s">
        <v>306</v>
      </c>
      <c r="E70" s="3"/>
      <c r="F70" s="3"/>
      <c r="G70" s="3"/>
      <c r="H70" s="3"/>
    </row>
    <row r="71" customFormat="false" ht="20.25" hidden="false" customHeight="true" outlineLevel="0" collapsed="false">
      <c r="B71" s="9" t="s">
        <v>307</v>
      </c>
      <c r="C71" s="55" t="n">
        <f aca="false">C67*C68 + C70*C69</f>
        <v>0</v>
      </c>
      <c r="D71" s="41" t="str">
        <f aca="false">IF(ABS(C71)&lt;1,"✅ Immunized","❌ Check")</f>
        <v>✅ Immunized</v>
      </c>
    </row>
  </sheetData>
  <mergeCells count="18">
    <mergeCell ref="B2:H2"/>
    <mergeCell ref="B3:H3"/>
    <mergeCell ref="B5:H5"/>
    <mergeCell ref="B15:H15"/>
    <mergeCell ref="F37:H37"/>
    <mergeCell ref="B39:H39"/>
    <mergeCell ref="D40:H40"/>
    <mergeCell ref="D41:H41"/>
    <mergeCell ref="D42:H42"/>
    <mergeCell ref="B44:H44"/>
    <mergeCell ref="D46:H46"/>
    <mergeCell ref="D48:H48"/>
    <mergeCell ref="D49:H49"/>
    <mergeCell ref="B56:H56"/>
    <mergeCell ref="E64:H64"/>
    <mergeCell ref="B66:H66"/>
    <mergeCell ref="D68:H68"/>
    <mergeCell ref="D70:H7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7" min="3" style="1" width="16"/>
    <col collapsed="false" customWidth="true" hidden="false" outlineLevel="0" max="8" min="8" style="1" width="32"/>
  </cols>
  <sheetData>
    <row r="2" customFormat="false" ht="27.75" hidden="false" customHeight="true" outlineLevel="0" collapsed="false">
      <c r="B2" s="22" t="s">
        <v>308</v>
      </c>
      <c r="C2" s="22"/>
      <c r="D2" s="22"/>
      <c r="E2" s="22"/>
      <c r="F2" s="22"/>
      <c r="G2" s="22"/>
      <c r="H2" s="22"/>
    </row>
    <row r="3" customFormat="false" ht="39.75" hidden="false" customHeight="true" outlineLevel="0" collapsed="false">
      <c r="B3" s="3" t="s">
        <v>309</v>
      </c>
      <c r="C3" s="3"/>
      <c r="D3" s="3"/>
      <c r="E3" s="3"/>
      <c r="F3" s="3"/>
      <c r="G3" s="3"/>
      <c r="H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310</v>
      </c>
      <c r="C5" s="19"/>
      <c r="D5" s="19"/>
      <c r="E5" s="19"/>
      <c r="F5" s="19"/>
      <c r="G5" s="19"/>
      <c r="H5" s="19"/>
    </row>
    <row r="6" customFormat="false" ht="21.75" hidden="false" customHeight="true" outlineLevel="0" collapsed="false">
      <c r="B6" s="16" t="s">
        <v>311</v>
      </c>
      <c r="C6" s="16" t="s">
        <v>312</v>
      </c>
      <c r="D6" s="16" t="s">
        <v>313</v>
      </c>
      <c r="E6" s="16" t="s">
        <v>221</v>
      </c>
      <c r="F6" s="16" t="s">
        <v>220</v>
      </c>
      <c r="G6" s="16" t="s">
        <v>314</v>
      </c>
    </row>
    <row r="7" customFormat="false" ht="15" hidden="false" customHeight="true" outlineLevel="0" collapsed="false">
      <c r="B7" s="56" t="n">
        <v>0.5</v>
      </c>
      <c r="C7" s="39" t="n">
        <v>98</v>
      </c>
      <c r="D7" s="23" t="n">
        <v>100</v>
      </c>
      <c r="E7" s="32" t="n">
        <f aca="false">IFERROR(C7/D7,"")</f>
        <v>0.98</v>
      </c>
      <c r="F7" s="57" t="n">
        <f aca="false">IFERROR(2*((D7/C7)^(1/(2*B7))-1),"")</f>
        <v>0.0408163265306123</v>
      </c>
      <c r="G7" s="33" t="n">
        <f aca="false">IFERROR(D7/(1+F7/2)^(2*B7),"")</f>
        <v>98</v>
      </c>
    </row>
    <row r="8" customFormat="false" ht="15" hidden="false" customHeight="true" outlineLevel="0" collapsed="false">
      <c r="B8" s="56" t="n">
        <v>1</v>
      </c>
      <c r="C8" s="39" t="n">
        <v>96</v>
      </c>
      <c r="D8" s="23" t="n">
        <v>100</v>
      </c>
      <c r="E8" s="36" t="n">
        <f aca="false">IFERROR(C8/D8,"")</f>
        <v>0.96</v>
      </c>
      <c r="F8" s="44" t="n">
        <f aca="false">IFERROR(2*((D8/C8)^(1/(2*B8))-1),"")</f>
        <v>0.0412414523193152</v>
      </c>
      <c r="G8" s="37" t="n">
        <f aca="false">IFERROR(D8/(1+F8/2)^(2*B8),"")</f>
        <v>96</v>
      </c>
    </row>
    <row r="9" customFormat="false" ht="15" hidden="false" customHeight="true" outlineLevel="0" collapsed="false">
      <c r="B9" s="56" t="n">
        <v>1.5</v>
      </c>
      <c r="C9" s="39" t="n">
        <v>94</v>
      </c>
      <c r="D9" s="23" t="n">
        <v>100</v>
      </c>
      <c r="E9" s="32" t="n">
        <f aca="false">IFERROR(C9/D9,"")</f>
        <v>0.94</v>
      </c>
      <c r="F9" s="57" t="n">
        <f aca="false">IFERROR(2*((D9/C9)^(1/(2*B9))-1),"")</f>
        <v>0.041678605081906</v>
      </c>
      <c r="G9" s="33" t="n">
        <f aca="false">IFERROR(D9/(1+F9/2)^(2*B9),"")</f>
        <v>94</v>
      </c>
    </row>
    <row r="10" customFormat="false" ht="15" hidden="false" customHeight="true" outlineLevel="0" collapsed="false">
      <c r="B10" s="56" t="n">
        <v>2</v>
      </c>
      <c r="C10" s="39" t="n">
        <v>92</v>
      </c>
      <c r="D10" s="23" t="n">
        <v>100</v>
      </c>
      <c r="E10" s="36" t="n">
        <f aca="false">IFERROR(C10/D10,"")</f>
        <v>0.92</v>
      </c>
      <c r="F10" s="44" t="n">
        <f aca="false">IFERROR(2*((D10/C10)^(1/(2*B10))-1),"")</f>
        <v>0.0421283703874971</v>
      </c>
      <c r="G10" s="37" t="n">
        <f aca="false">IFERROR(D10/(1+F10/2)^(2*B10),"")</f>
        <v>92</v>
      </c>
    </row>
    <row r="11" customFormat="false" ht="15" hidden="false" customHeight="true" outlineLevel="0" collapsed="false">
      <c r="B11" s="56" t="n">
        <v>2.5</v>
      </c>
      <c r="C11" s="39" t="n">
        <v>0</v>
      </c>
      <c r="D11" s="23" t="n">
        <v>100</v>
      </c>
      <c r="E11" s="32" t="n">
        <f aca="false">IFERROR(C11/D11,"")</f>
        <v>0</v>
      </c>
      <c r="F11" s="57" t="str">
        <f aca="false">IFERROR(2*((D11/C11)^(1/(2*B11))-1),"")</f>
        <v/>
      </c>
      <c r="G11" s="33" t="str">
        <f aca="false">IFERROR(D11/(1+F11/2)^(2*B11),"")</f>
        <v/>
      </c>
    </row>
    <row r="12" customFormat="false" ht="15" hidden="false" customHeight="true" outlineLevel="0" collapsed="false">
      <c r="B12" s="56" t="n">
        <v>3</v>
      </c>
      <c r="C12" s="39" t="n">
        <v>0</v>
      </c>
      <c r="D12" s="23" t="n">
        <v>100</v>
      </c>
      <c r="E12" s="36" t="n">
        <f aca="false">IFERROR(C12/D12,"")</f>
        <v>0</v>
      </c>
      <c r="F12" s="44" t="str">
        <f aca="false">IFERROR(2*((D12/C12)^(1/(2*B12))-1),"")</f>
        <v/>
      </c>
      <c r="G12" s="37" t="str">
        <f aca="false">IFERROR(D12/(1+F12/2)^(2*B12),"")</f>
        <v/>
      </c>
    </row>
    <row r="13" customFormat="false" ht="15" hidden="false" customHeight="true" outlineLevel="0" collapsed="false">
      <c r="B13" s="56" t="n">
        <v>3.5</v>
      </c>
      <c r="C13" s="39" t="n">
        <v>0</v>
      </c>
      <c r="D13" s="23" t="n">
        <v>100</v>
      </c>
      <c r="E13" s="32" t="n">
        <f aca="false">IFERROR(C13/D13,"")</f>
        <v>0</v>
      </c>
      <c r="F13" s="57" t="str">
        <f aca="false">IFERROR(2*((D13/C13)^(1/(2*B13))-1),"")</f>
        <v/>
      </c>
      <c r="G13" s="33" t="str">
        <f aca="false">IFERROR(D13/(1+F13/2)^(2*B13),"")</f>
        <v/>
      </c>
    </row>
    <row r="14" customFormat="false" ht="15" hidden="false" customHeight="true" outlineLevel="0" collapsed="false">
      <c r="B14" s="56" t="n">
        <v>4</v>
      </c>
      <c r="C14" s="39" t="n">
        <v>0</v>
      </c>
      <c r="D14" s="23" t="n">
        <v>100</v>
      </c>
      <c r="E14" s="36" t="n">
        <f aca="false">IFERROR(C14/D14,"")</f>
        <v>0</v>
      </c>
      <c r="F14" s="44" t="str">
        <f aca="false">IFERROR(2*((D14/C14)^(1/(2*B14))-1),"")</f>
        <v/>
      </c>
      <c r="G14" s="37" t="str">
        <f aca="false">IFERROR(D14/(1+F14/2)^(2*B14),"")</f>
        <v/>
      </c>
    </row>
    <row r="15" customFormat="false" ht="15" hidden="false" customHeight="true" outlineLevel="0" collapsed="false">
      <c r="B15" s="56" t="n">
        <v>5</v>
      </c>
      <c r="C15" s="39" t="n">
        <v>0</v>
      </c>
      <c r="D15" s="23" t="n">
        <v>100</v>
      </c>
      <c r="E15" s="32" t="n">
        <f aca="false">IFERROR(C15/D15,"")</f>
        <v>0</v>
      </c>
      <c r="F15" s="57" t="str">
        <f aca="false">IFERROR(2*((D15/C15)^(1/(2*B15))-1),"")</f>
        <v/>
      </c>
      <c r="G15" s="33" t="str">
        <f aca="false">IFERROR(D15/(1+F15/2)^(2*B15),"")</f>
        <v/>
      </c>
    </row>
    <row r="16" customFormat="false" ht="15" hidden="false" customHeight="true" outlineLevel="0" collapsed="false">
      <c r="B16" s="56" t="n">
        <v>10</v>
      </c>
      <c r="C16" s="39" t="n">
        <v>0</v>
      </c>
      <c r="D16" s="23" t="n">
        <v>100</v>
      </c>
      <c r="E16" s="36" t="n">
        <f aca="false">IFERROR(C16/D16,"")</f>
        <v>0</v>
      </c>
      <c r="F16" s="44" t="str">
        <f aca="false">IFERROR(2*((D16/C16)^(1/(2*B16))-1),"")</f>
        <v/>
      </c>
      <c r="G16" s="37" t="str">
        <f aca="false">IFERROR(D16/(1+F16/2)^(2*B16),"")</f>
        <v/>
      </c>
    </row>
    <row r="17" customFormat="false" ht="7.5" hidden="false" customHeight="true" outlineLevel="0" collapsed="false"/>
    <row r="18" customFormat="false" ht="15" hidden="false" customHeight="true" outlineLevel="0" collapsed="false">
      <c r="B18" s="19" t="s">
        <v>315</v>
      </c>
      <c r="C18" s="19"/>
      <c r="D18" s="19"/>
      <c r="E18" s="19"/>
      <c r="F18" s="19"/>
      <c r="G18" s="19"/>
      <c r="H18" s="19"/>
    </row>
    <row r="19" customFormat="false" ht="39.75" hidden="false" customHeight="true" outlineLevel="0" collapsed="false">
      <c r="B19" s="3" t="s">
        <v>316</v>
      </c>
      <c r="C19" s="3"/>
      <c r="D19" s="3"/>
      <c r="E19" s="3"/>
      <c r="F19" s="3"/>
      <c r="G19" s="3"/>
      <c r="H19" s="3"/>
    </row>
    <row r="20" customFormat="false" ht="15" hidden="false" customHeight="true" outlineLevel="0" collapsed="false">
      <c r="B20" s="9" t="s">
        <v>317</v>
      </c>
      <c r="C20" s="56" t="n">
        <v>0.5</v>
      </c>
    </row>
    <row r="21" customFormat="false" ht="15" hidden="false" customHeight="true" outlineLevel="0" collapsed="false">
      <c r="B21" s="9" t="s">
        <v>318</v>
      </c>
      <c r="C21" s="31" t="n">
        <v>0.025</v>
      </c>
    </row>
    <row r="22" customFormat="false" ht="15" hidden="false" customHeight="true" outlineLevel="0" collapsed="false">
      <c r="B22" s="9" t="s">
        <v>319</v>
      </c>
      <c r="C22" s="56" t="n">
        <v>1</v>
      </c>
    </row>
    <row r="23" customFormat="false" ht="15" hidden="false" customHeight="true" outlineLevel="0" collapsed="false">
      <c r="B23" s="9" t="s">
        <v>320</v>
      </c>
      <c r="C23" s="31" t="n">
        <v>0.022</v>
      </c>
    </row>
    <row r="24" customFormat="false" ht="20.25" hidden="false" customHeight="true" outlineLevel="0" collapsed="false">
      <c r="B24" s="8" t="s">
        <v>321</v>
      </c>
      <c r="C24" s="40" t="n">
        <f aca="false">2*(((1+C23/2)^(2*C22)/(1+C21/2)^(2*C20))^(1/(2*(C22-C20)))-1)</f>
        <v>0.0190044444444442</v>
      </c>
      <c r="D24" s="3" t="s">
        <v>322</v>
      </c>
      <c r="E24" s="3"/>
      <c r="F24" s="3"/>
      <c r="G24" s="3"/>
      <c r="H24" s="3"/>
    </row>
    <row r="25" customFormat="false" ht="7.5" hidden="false" customHeight="true" outlineLevel="0" collapsed="false"/>
    <row r="26" customFormat="false" ht="15" hidden="false" customHeight="true" outlineLevel="0" collapsed="false">
      <c r="B26" s="19" t="s">
        <v>323</v>
      </c>
      <c r="C26" s="19"/>
      <c r="D26" s="19"/>
      <c r="E26" s="19"/>
      <c r="F26" s="19"/>
      <c r="G26" s="19"/>
      <c r="H26" s="19"/>
    </row>
    <row r="27" customFormat="false" ht="30" hidden="false" customHeight="true" outlineLevel="0" collapsed="false">
      <c r="B27" s="3" t="s">
        <v>324</v>
      </c>
      <c r="C27" s="3"/>
      <c r="D27" s="3"/>
      <c r="E27" s="3"/>
      <c r="F27" s="3"/>
      <c r="G27" s="3"/>
      <c r="H27" s="3"/>
    </row>
    <row r="28" customFormat="false" ht="21.75" hidden="false" customHeight="true" outlineLevel="0" collapsed="false">
      <c r="B28" s="16" t="s">
        <v>325</v>
      </c>
      <c r="C28" s="16" t="s">
        <v>326</v>
      </c>
      <c r="D28" s="16" t="s">
        <v>327</v>
      </c>
      <c r="E28" s="16" t="s">
        <v>328</v>
      </c>
      <c r="F28" s="16" t="s">
        <v>329</v>
      </c>
      <c r="G28" s="16" t="s">
        <v>330</v>
      </c>
    </row>
    <row r="29" customFormat="false" ht="15" hidden="false" customHeight="true" outlineLevel="0" collapsed="false">
      <c r="B29" s="30" t="n">
        <f aca="false">B7</f>
        <v>0.5</v>
      </c>
      <c r="C29" s="30" t="n">
        <f aca="false">B8</f>
        <v>1</v>
      </c>
      <c r="D29" s="57" t="n">
        <f aca="false">F7</f>
        <v>0.0408163265306123</v>
      </c>
      <c r="E29" s="57" t="n">
        <f aca="false">F8</f>
        <v>0.0412414523193152</v>
      </c>
      <c r="F29" s="57" t="n">
        <f aca="false">IFERROR(2*(((1+F8/2)^(2*B8)/(1+F7/2)^(2*B7))^(1/(2*(B8-B7)))-1),"")</f>
        <v>0.041666666666667</v>
      </c>
      <c r="G29" s="58" t="str">
        <f aca="false">"6-month rate from yr "&amp;TEXT(C29,"0.0")&amp;" to "&amp;TEXT(D29,"0.0")</f>
        <v>6-month rate from yr 1.0 to 0.0</v>
      </c>
    </row>
    <row r="30" customFormat="false" ht="15" hidden="false" customHeight="true" outlineLevel="0" collapsed="false">
      <c r="B30" s="35" t="n">
        <f aca="false">B8</f>
        <v>1</v>
      </c>
      <c r="C30" s="35" t="n">
        <f aca="false">B9</f>
        <v>1.5</v>
      </c>
      <c r="D30" s="44" t="n">
        <f aca="false">F8</f>
        <v>0.0412414523193152</v>
      </c>
      <c r="E30" s="44" t="n">
        <f aca="false">F9</f>
        <v>0.041678605081906</v>
      </c>
      <c r="F30" s="44" t="n">
        <f aca="false">IFERROR(2*(((1+F9/2)^(2*B9)/(1+F8/2)^(2*B8))^(1/(2*(B9-B8)))-1),"")</f>
        <v>0.0425531914893615</v>
      </c>
      <c r="G30" s="59" t="str">
        <f aca="false">"6-month rate from yr "&amp;TEXT(C30,"0.0")&amp;" to "&amp;TEXT(D30,"0.0")</f>
        <v>6-month rate from yr 1.5 to 0.0</v>
      </c>
    </row>
    <row r="31" customFormat="false" ht="15" hidden="false" customHeight="true" outlineLevel="0" collapsed="false">
      <c r="B31" s="30" t="n">
        <f aca="false">B9</f>
        <v>1.5</v>
      </c>
      <c r="C31" s="30" t="n">
        <f aca="false">B10</f>
        <v>2</v>
      </c>
      <c r="D31" s="57" t="n">
        <f aca="false">F9</f>
        <v>0.041678605081906</v>
      </c>
      <c r="E31" s="57" t="n">
        <f aca="false">F10</f>
        <v>0.0421283703874971</v>
      </c>
      <c r="F31" s="57" t="n">
        <f aca="false">IFERROR(2*(((1+F10/2)^(2*B10)/(1+F9/2)^(2*B9))^(1/(2*(B10-B9)))-1),"")</f>
        <v>0.0434782608695645</v>
      </c>
      <c r="G31" s="58" t="str">
        <f aca="false">"6-month rate from yr "&amp;TEXT(C31,"0.0")&amp;" to "&amp;TEXT(D31,"0.0")</f>
        <v>6-month rate from yr 2.0 to 0.0</v>
      </c>
    </row>
    <row r="32" customFormat="false" ht="15" hidden="false" customHeight="true" outlineLevel="0" collapsed="false">
      <c r="B32" s="35" t="n">
        <f aca="false">B10</f>
        <v>2</v>
      </c>
      <c r="C32" s="35" t="n">
        <f aca="false">B11</f>
        <v>2.5</v>
      </c>
      <c r="D32" s="44" t="n">
        <f aca="false">F10</f>
        <v>0.0421283703874971</v>
      </c>
      <c r="E32" s="44" t="str">
        <f aca="false">F11</f>
        <v/>
      </c>
      <c r="F32" s="44" t="str">
        <f aca="false">IFERROR(2*(((1+F11/2)^(2*B11)/(1+F10/2)^(2*B10))^(1/(2*(B11-B10)))-1),"")</f>
        <v/>
      </c>
      <c r="G32" s="59" t="str">
        <f aca="false">"6-month rate from yr "&amp;TEXT(C32,"0.0")&amp;" to "&amp;TEXT(D32,"0.0")</f>
        <v>6-month rate from yr 2.5 to 0.0</v>
      </c>
    </row>
    <row r="33" customFormat="false" ht="15" hidden="false" customHeight="true" outlineLevel="0" collapsed="false">
      <c r="B33" s="30" t="n">
        <f aca="false">B11</f>
        <v>2.5</v>
      </c>
      <c r="C33" s="30" t="n">
        <f aca="false">B12</f>
        <v>3</v>
      </c>
      <c r="D33" s="57" t="str">
        <f aca="false">F11</f>
        <v/>
      </c>
      <c r="E33" s="57" t="str">
        <f aca="false">F12</f>
        <v/>
      </c>
      <c r="F33" s="57" t="str">
        <f aca="false">IFERROR(2*(((1+F12/2)^(2*B12)/(1+F11/2)^(2*B11))^(1/(2*(B12-B11)))-1),"")</f>
        <v/>
      </c>
      <c r="G33" s="58" t="str">
        <f aca="false">"6-month rate from yr "&amp;TEXT(C33,"0.0")&amp;" to "&amp;TEXT(D33,"0.0")</f>
        <v>6-month rate from yr 3.0 to </v>
      </c>
    </row>
    <row r="34" customFormat="false" ht="15" hidden="false" customHeight="true" outlineLevel="0" collapsed="false">
      <c r="B34" s="35" t="n">
        <f aca="false">B12</f>
        <v>3</v>
      </c>
      <c r="C34" s="35" t="n">
        <f aca="false">B13</f>
        <v>3.5</v>
      </c>
      <c r="D34" s="44" t="str">
        <f aca="false">F12</f>
        <v/>
      </c>
      <c r="E34" s="44" t="str">
        <f aca="false">F13</f>
        <v/>
      </c>
      <c r="F34" s="44" t="str">
        <f aca="false">IFERROR(2*(((1+F13/2)^(2*B13)/(1+F12/2)^(2*B12))^(1/(2*(B13-B12)))-1),"")</f>
        <v/>
      </c>
      <c r="G34" s="59" t="str">
        <f aca="false">"6-month rate from yr "&amp;TEXT(C34,"0.0")&amp;" to "&amp;TEXT(D34,"0.0")</f>
        <v>6-month rate from yr 3.5 to </v>
      </c>
    </row>
    <row r="35" customFormat="false" ht="15" hidden="false" customHeight="true" outlineLevel="0" collapsed="false">
      <c r="B35" s="30" t="n">
        <f aca="false">B13</f>
        <v>3.5</v>
      </c>
      <c r="C35" s="30" t="n">
        <f aca="false">B14</f>
        <v>4</v>
      </c>
      <c r="D35" s="57" t="str">
        <f aca="false">F13</f>
        <v/>
      </c>
      <c r="E35" s="57" t="str">
        <f aca="false">F14</f>
        <v/>
      </c>
      <c r="F35" s="57" t="str">
        <f aca="false">IFERROR(2*(((1+F14/2)^(2*B14)/(1+F13/2)^(2*B13))^(1/(2*(B14-B13)))-1),"")</f>
        <v/>
      </c>
      <c r="G35" s="58" t="str">
        <f aca="false">"6-month rate from yr "&amp;TEXT(C35,"0.0")&amp;" to "&amp;TEXT(D35,"0.0")</f>
        <v>6-month rate from yr 4.0 to </v>
      </c>
    </row>
    <row r="36" customFormat="false" ht="15" hidden="false" customHeight="true" outlineLevel="0" collapsed="false">
      <c r="B36" s="35" t="n">
        <f aca="false">B14</f>
        <v>4</v>
      </c>
      <c r="C36" s="35" t="n">
        <f aca="false">B15</f>
        <v>5</v>
      </c>
      <c r="D36" s="44" t="str">
        <f aca="false">F14</f>
        <v/>
      </c>
      <c r="E36" s="44" t="str">
        <f aca="false">F15</f>
        <v/>
      </c>
      <c r="F36" s="44" t="str">
        <f aca="false">IFERROR(2*(((1+F15/2)^(2*B15)/(1+F14/2)^(2*B14))^(1/(2*(B15-B14)))-1),"")</f>
        <v/>
      </c>
      <c r="G36" s="59" t="str">
        <f aca="false">"6-month rate from yr "&amp;TEXT(C36,"0.0")&amp;" to "&amp;TEXT(D36,"0.0")</f>
        <v>6-month rate from yr 5.0 to </v>
      </c>
    </row>
    <row r="37" customFormat="false" ht="15" hidden="false" customHeight="true" outlineLevel="0" collapsed="false">
      <c r="B37" s="30" t="n">
        <f aca="false">B15</f>
        <v>5</v>
      </c>
      <c r="C37" s="30" t="n">
        <f aca="false">B16</f>
        <v>10</v>
      </c>
      <c r="D37" s="57" t="str">
        <f aca="false">F15</f>
        <v/>
      </c>
      <c r="E37" s="57" t="str">
        <f aca="false">F16</f>
        <v/>
      </c>
      <c r="F37" s="57" t="str">
        <f aca="false">IFERROR(2*(((1+F16/2)^(2*B16)/(1+F15/2)^(2*B15))^(1/(2*(B16-B15)))-1),"")</f>
        <v/>
      </c>
      <c r="G37" s="58" t="str">
        <f aca="false">"6-month rate from yr "&amp;TEXT(C37,"0.0")&amp;" to "&amp;TEXT(D37,"0.0")</f>
        <v>6-month rate from yr 10.0 to </v>
      </c>
    </row>
    <row r="38" customFormat="false" ht="7.5" hidden="false" customHeight="true" outlineLevel="0" collapsed="false"/>
    <row r="39" customFormat="false" ht="15" hidden="false" customHeight="true" outlineLevel="0" collapsed="false">
      <c r="B39" s="19" t="s">
        <v>331</v>
      </c>
      <c r="C39" s="19"/>
      <c r="D39" s="19"/>
      <c r="E39" s="19"/>
      <c r="F39" s="19"/>
      <c r="G39" s="19"/>
      <c r="H39" s="19"/>
    </row>
    <row r="40" customFormat="false" ht="15" hidden="false" customHeight="true" outlineLevel="0" collapsed="false">
      <c r="B40" s="60" t="s">
        <v>311</v>
      </c>
      <c r="C40" s="61" t="n">
        <f aca="false">B7</f>
        <v>0.5</v>
      </c>
      <c r="D40" s="61" t="n">
        <f aca="false">B8</f>
        <v>1</v>
      </c>
      <c r="E40" s="61" t="n">
        <f aca="false">B9</f>
        <v>1.5</v>
      </c>
      <c r="F40" s="61" t="n">
        <f aca="false">B10</f>
        <v>2</v>
      </c>
      <c r="G40" s="61" t="n">
        <f aca="false">B11</f>
        <v>2.5</v>
      </c>
      <c r="H40" s="61" t="n">
        <f aca="false">B12</f>
        <v>3</v>
      </c>
      <c r="I40" s="61" t="n">
        <f aca="false">B13</f>
        <v>3.5</v>
      </c>
      <c r="J40" s="61" t="n">
        <f aca="false">B14</f>
        <v>4</v>
      </c>
      <c r="K40" s="61" t="n">
        <f aca="false">B15</f>
        <v>5</v>
      </c>
      <c r="L40" s="61" t="n">
        <f aca="false">B16</f>
        <v>10</v>
      </c>
    </row>
    <row r="41" customFormat="false" ht="15" hidden="false" customHeight="true" outlineLevel="0" collapsed="false">
      <c r="B41" s="60" t="s">
        <v>221</v>
      </c>
      <c r="C41" s="62" t="n">
        <f aca="false">E7</f>
        <v>0.98</v>
      </c>
      <c r="D41" s="62" t="n">
        <f aca="false">E8</f>
        <v>0.96</v>
      </c>
      <c r="E41" s="62" t="n">
        <f aca="false">E9</f>
        <v>0.94</v>
      </c>
      <c r="F41" s="62" t="n">
        <f aca="false">E10</f>
        <v>0.92</v>
      </c>
      <c r="G41" s="62" t="n">
        <f aca="false">E11</f>
        <v>0</v>
      </c>
      <c r="H41" s="62" t="n">
        <f aca="false">E12</f>
        <v>0</v>
      </c>
      <c r="I41" s="62" t="n">
        <f aca="false">E13</f>
        <v>0</v>
      </c>
      <c r="J41" s="62" t="n">
        <f aca="false">E14</f>
        <v>0</v>
      </c>
      <c r="K41" s="62" t="n">
        <f aca="false">E15</f>
        <v>0</v>
      </c>
      <c r="L41" s="62" t="n">
        <f aca="false">E16</f>
        <v>0</v>
      </c>
    </row>
  </sheetData>
  <mergeCells count="9">
    <mergeCell ref="B2:H2"/>
    <mergeCell ref="B3:H3"/>
    <mergeCell ref="B5:H5"/>
    <mergeCell ref="B18:H18"/>
    <mergeCell ref="B19:H19"/>
    <mergeCell ref="D24:H24"/>
    <mergeCell ref="B26:H26"/>
    <mergeCell ref="B27:H27"/>
    <mergeCell ref="B39:H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32"/>
  </cols>
  <sheetData>
    <row r="2" customFormat="false" ht="27.75" hidden="false" customHeight="true" outlineLevel="0" collapsed="false">
      <c r="B2" s="22" t="s">
        <v>332</v>
      </c>
      <c r="C2" s="22"/>
      <c r="D2" s="22"/>
      <c r="E2" s="22"/>
      <c r="F2" s="22"/>
      <c r="G2" s="22"/>
    </row>
    <row r="3" customFormat="false" ht="39.75" hidden="false" customHeight="true" outlineLevel="0" collapsed="false">
      <c r="B3" s="3" t="s">
        <v>333</v>
      </c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334</v>
      </c>
      <c r="C5" s="19"/>
      <c r="D5" s="19"/>
      <c r="E5" s="19"/>
      <c r="F5" s="19"/>
      <c r="G5" s="19"/>
    </row>
    <row r="6" customFormat="false" ht="54.75" hidden="false" customHeight="true" outlineLevel="0" collapsed="false">
      <c r="B6" s="3" t="s">
        <v>335</v>
      </c>
      <c r="C6" s="3"/>
      <c r="D6" s="3"/>
      <c r="E6" s="3"/>
      <c r="F6" s="3"/>
      <c r="G6" s="3"/>
    </row>
    <row r="7" customFormat="false" ht="15" hidden="false" customHeight="true" outlineLevel="0" collapsed="false">
      <c r="B7" s="9" t="s">
        <v>336</v>
      </c>
      <c r="C7" s="23" t="n">
        <v>100000000</v>
      </c>
    </row>
    <row r="8" customFormat="false" ht="15" hidden="false" customHeight="true" outlineLevel="0" collapsed="false">
      <c r="B8" s="9" t="s">
        <v>337</v>
      </c>
      <c r="C8" s="47" t="n">
        <v>5.5</v>
      </c>
    </row>
    <row r="9" customFormat="false" ht="15" hidden="false" customHeight="true" outlineLevel="0" collapsed="false">
      <c r="B9" s="9" t="s">
        <v>338</v>
      </c>
      <c r="C9" s="25" t="n">
        <v>30</v>
      </c>
    </row>
    <row r="10" customFormat="false" ht="15" hidden="false" customHeight="true" outlineLevel="0" collapsed="false">
      <c r="B10" s="9" t="s">
        <v>339</v>
      </c>
      <c r="C10" s="31" t="n">
        <v>0.03</v>
      </c>
    </row>
    <row r="11" customFormat="false" ht="7.5" hidden="false" customHeight="true" outlineLevel="0" collapsed="false"/>
    <row r="12" customFormat="false" ht="15" hidden="false" customHeight="true" outlineLevel="0" collapsed="false">
      <c r="B12" s="8" t="s">
        <v>340</v>
      </c>
      <c r="C12" s="63" t="n">
        <f aca="false">1/(1+C10/2)^(2*C9)</f>
        <v>0.409295966719857</v>
      </c>
    </row>
    <row r="13" customFormat="false" ht="15" hidden="false" customHeight="true" outlineLevel="0" collapsed="false">
      <c r="B13" s="8" t="s">
        <v>341</v>
      </c>
      <c r="C13" s="64" t="n">
        <f aca="false">C8/C9</f>
        <v>0.183333333333333</v>
      </c>
      <c r="D13" s="3" t="s">
        <v>342</v>
      </c>
      <c r="E13" s="3"/>
      <c r="F13" s="3"/>
      <c r="G13" s="3"/>
    </row>
    <row r="14" customFormat="false" ht="15" hidden="false" customHeight="true" outlineLevel="0" collapsed="false">
      <c r="B14" s="8" t="s">
        <v>343</v>
      </c>
      <c r="C14" s="64" t="n">
        <f aca="false">1-C13</f>
        <v>0.816666666666667</v>
      </c>
    </row>
    <row r="15" customFormat="false" ht="15" hidden="false" customHeight="true" outlineLevel="0" collapsed="false">
      <c r="B15" s="8" t="s">
        <v>344</v>
      </c>
      <c r="C15" s="46" t="n">
        <f aca="false">C13*C7</f>
        <v>18333333.3333333</v>
      </c>
    </row>
    <row r="16" customFormat="false" ht="15" hidden="false" customHeight="true" outlineLevel="0" collapsed="false">
      <c r="B16" s="8" t="s">
        <v>345</v>
      </c>
      <c r="C16" s="46" t="n">
        <f aca="false">C14*C7</f>
        <v>81666666.6666667</v>
      </c>
    </row>
    <row r="17" customFormat="false" ht="20.25" hidden="false" customHeight="true" outlineLevel="0" collapsed="false">
      <c r="B17" s="9" t="s">
        <v>346</v>
      </c>
      <c r="C17" s="65" t="n">
        <f aca="false">C13*C9+C14*0</f>
        <v>5.5</v>
      </c>
      <c r="D17" s="41" t="str">
        <f aca="false">IF(ABS(C17-C8)&lt;0.001,"✅ Match","❌ Check")</f>
        <v>✅ Match</v>
      </c>
    </row>
    <row r="18" customFormat="false" ht="7.5" hidden="false" customHeight="true" outlineLevel="0" collapsed="false"/>
    <row r="19" customFormat="false" ht="15" hidden="false" customHeight="true" outlineLevel="0" collapsed="false">
      <c r="B19" s="19" t="s">
        <v>347</v>
      </c>
      <c r="C19" s="19"/>
      <c r="D19" s="19"/>
      <c r="E19" s="19"/>
      <c r="F19" s="19"/>
      <c r="G19" s="19"/>
    </row>
    <row r="20" customFormat="false" ht="39.75" hidden="false" customHeight="true" outlineLevel="0" collapsed="false">
      <c r="B20" s="3" t="s">
        <v>348</v>
      </c>
      <c r="C20" s="3"/>
      <c r="D20" s="3"/>
      <c r="E20" s="3"/>
      <c r="F20" s="3"/>
      <c r="G20" s="3"/>
    </row>
    <row r="21" customFormat="false" ht="15" hidden="false" customHeight="true" outlineLevel="0" collapsed="false">
      <c r="B21" s="9" t="s">
        <v>349</v>
      </c>
      <c r="C21" s="23" t="n">
        <v>120000000000</v>
      </c>
    </row>
    <row r="22" customFormat="false" ht="15" hidden="false" customHeight="true" outlineLevel="0" collapsed="false">
      <c r="B22" s="9" t="s">
        <v>350</v>
      </c>
      <c r="C22" s="47" t="n">
        <v>6.5</v>
      </c>
    </row>
    <row r="23" customFormat="false" ht="15" hidden="false" customHeight="true" outlineLevel="0" collapsed="false">
      <c r="B23" s="9" t="s">
        <v>351</v>
      </c>
      <c r="C23" s="23" t="n">
        <v>105000000000</v>
      </c>
    </row>
    <row r="24" customFormat="false" ht="15" hidden="false" customHeight="true" outlineLevel="0" collapsed="false">
      <c r="B24" s="9" t="s">
        <v>352</v>
      </c>
      <c r="C24" s="47" t="n">
        <v>1.2</v>
      </c>
    </row>
    <row r="25" customFormat="false" ht="15" hidden="false" customHeight="true" outlineLevel="0" collapsed="false">
      <c r="B25" s="9" t="s">
        <v>353</v>
      </c>
      <c r="C25" s="24" t="n">
        <v>0.01</v>
      </c>
    </row>
    <row r="26" customFormat="false" ht="7.5" hidden="false" customHeight="true" outlineLevel="0" collapsed="false"/>
    <row r="27" customFormat="false" ht="15" hidden="false" customHeight="true" outlineLevel="0" collapsed="false">
      <c r="B27" s="8" t="s">
        <v>354</v>
      </c>
      <c r="C27" s="54" t="n">
        <f aca="false">C21-C23</f>
        <v>15000000000</v>
      </c>
    </row>
    <row r="28" customFormat="false" ht="20.25" hidden="false" customHeight="true" outlineLevel="0" collapsed="false">
      <c r="B28" s="8" t="s">
        <v>355</v>
      </c>
      <c r="C28" s="54" t="n">
        <f aca="false">C22*C21</f>
        <v>780000000000</v>
      </c>
    </row>
    <row r="29" customFormat="false" ht="20.25" hidden="false" customHeight="true" outlineLevel="0" collapsed="false">
      <c r="B29" s="8" t="s">
        <v>356</v>
      </c>
      <c r="C29" s="54" t="n">
        <f aca="false">C24*C23</f>
        <v>126000000000</v>
      </c>
    </row>
    <row r="30" customFormat="false" ht="20.25" hidden="false" customHeight="true" outlineLevel="0" collapsed="false">
      <c r="B30" s="8" t="s">
        <v>357</v>
      </c>
      <c r="C30" s="54" t="n">
        <f aca="false">C28-C29</f>
        <v>654000000000</v>
      </c>
    </row>
    <row r="31" customFormat="false" ht="15" hidden="false" customHeight="true" outlineLevel="0" collapsed="false">
      <c r="B31" s="8" t="s">
        <v>358</v>
      </c>
      <c r="C31" s="46" t="n">
        <f aca="false">-C30*C25</f>
        <v>-6540000000</v>
      </c>
      <c r="D31" s="3" t="s">
        <v>359</v>
      </c>
      <c r="E31" s="3"/>
      <c r="F31" s="3"/>
      <c r="G31" s="3"/>
    </row>
    <row r="32" customFormat="false" ht="15" hidden="false" customHeight="true" outlineLevel="0" collapsed="false">
      <c r="B32" s="8" t="s">
        <v>360</v>
      </c>
      <c r="C32" s="64" t="n">
        <f aca="false">IFERROR(C31/C27,"N/A")</f>
        <v>-0.436</v>
      </c>
    </row>
    <row r="33" customFormat="false" ht="7.5" hidden="false" customHeight="true" outlineLevel="0" collapsed="false"/>
    <row r="34" customFormat="false" ht="15" hidden="false" customHeight="true" outlineLevel="0" collapsed="false">
      <c r="B34" s="19" t="s">
        <v>361</v>
      </c>
      <c r="C34" s="19"/>
      <c r="D34" s="19"/>
      <c r="E34" s="19"/>
      <c r="F34" s="19"/>
      <c r="G34" s="19"/>
    </row>
    <row r="35" customFormat="false" ht="30" hidden="false" customHeight="true" outlineLevel="0" collapsed="false">
      <c r="B35" s="3" t="s">
        <v>362</v>
      </c>
      <c r="C35" s="3"/>
      <c r="D35" s="3"/>
      <c r="E35" s="3"/>
      <c r="F35" s="3"/>
      <c r="G35" s="3"/>
    </row>
    <row r="36" customFormat="false" ht="15" hidden="false" customHeight="true" outlineLevel="0" collapsed="false">
      <c r="B36" s="9" t="s">
        <v>339</v>
      </c>
      <c r="C36" s="31" t="n">
        <v>0.03</v>
      </c>
    </row>
    <row r="37" customFormat="false" ht="15" hidden="false" customHeight="true" outlineLevel="0" collapsed="false">
      <c r="B37" s="9" t="s">
        <v>213</v>
      </c>
      <c r="C37" s="26" t="n">
        <v>2</v>
      </c>
    </row>
    <row r="38" customFormat="false" ht="21.75" hidden="false" customHeight="true" outlineLevel="0" collapsed="false">
      <c r="B38" s="16" t="s">
        <v>363</v>
      </c>
      <c r="C38" s="16" t="s">
        <v>219</v>
      </c>
      <c r="D38" s="16" t="s">
        <v>364</v>
      </c>
      <c r="E38" s="16" t="s">
        <v>365</v>
      </c>
      <c r="F38" s="16" t="s">
        <v>366</v>
      </c>
      <c r="G38" s="16" t="s">
        <v>367</v>
      </c>
    </row>
    <row r="39" customFormat="false" ht="15" hidden="false" customHeight="true" outlineLevel="0" collapsed="false">
      <c r="B39" s="29" t="n">
        <v>1</v>
      </c>
      <c r="C39" s="30" t="n">
        <f aca="false">B39/$C$37</f>
        <v>0.5</v>
      </c>
      <c r="D39" s="23" t="n">
        <v>200</v>
      </c>
      <c r="E39" s="33" t="n">
        <f aca="false">D39/(1+$C$36/$C$37)^B39</f>
        <v>197.044334975369</v>
      </c>
      <c r="F39" s="32" t="n">
        <f aca="false">IFERROR(E39/C59,0)</f>
        <v>0.0663475372684756</v>
      </c>
      <c r="G39" s="32" t="n">
        <f aca="false">C39*F39</f>
        <v>0.0331737686342378</v>
      </c>
    </row>
    <row r="40" customFormat="false" ht="15" hidden="false" customHeight="true" outlineLevel="0" collapsed="false">
      <c r="B40" s="34" t="n">
        <v>2</v>
      </c>
      <c r="C40" s="35" t="n">
        <f aca="false">B40/$C$37</f>
        <v>1</v>
      </c>
      <c r="D40" s="23" t="n">
        <v>197</v>
      </c>
      <c r="E40" s="37" t="n">
        <f aca="false">D40/(1+$C$36/$C$37)^B40</f>
        <v>191.220364483487</v>
      </c>
      <c r="F40" s="36" t="n">
        <f aca="false">IFERROR(E40/C59,0)</f>
        <v>0.0643865263147276</v>
      </c>
      <c r="G40" s="36" t="n">
        <f aca="false">C40*F40</f>
        <v>0.0643865263147276</v>
      </c>
    </row>
    <row r="41" customFormat="false" ht="15" hidden="false" customHeight="true" outlineLevel="0" collapsed="false">
      <c r="B41" s="29" t="n">
        <v>3</v>
      </c>
      <c r="C41" s="30" t="n">
        <f aca="false">B41/$C$37</f>
        <v>1.5</v>
      </c>
      <c r="D41" s="23" t="n">
        <v>194</v>
      </c>
      <c r="E41" s="33" t="n">
        <f aca="false">D41/(1+$C$36/$C$37)^B41</f>
        <v>185.525496785759</v>
      </c>
      <c r="F41" s="32" t="n">
        <f aca="false">IFERROR(E41/C59,0)</f>
        <v>0.0624689860471464</v>
      </c>
      <c r="G41" s="32" t="n">
        <f aca="false">C41*F41</f>
        <v>0.0937034790707196</v>
      </c>
    </row>
    <row r="42" customFormat="false" ht="15" hidden="false" customHeight="true" outlineLevel="0" collapsed="false">
      <c r="B42" s="34" t="n">
        <v>4</v>
      </c>
      <c r="C42" s="35" t="n">
        <f aca="false">B42/$C$37</f>
        <v>2</v>
      </c>
      <c r="D42" s="23" t="n">
        <v>191</v>
      </c>
      <c r="E42" s="37" t="n">
        <f aca="false">D42/(1+$C$36/$C$37)^B42</f>
        <v>179.957187984764</v>
      </c>
      <c r="F42" s="36" t="n">
        <f aca="false">IFERROR(E42/C59,0)</f>
        <v>0.0605940599004873</v>
      </c>
      <c r="G42" s="36" t="n">
        <f aca="false">C42*F42</f>
        <v>0.121188119800975</v>
      </c>
    </row>
    <row r="43" customFormat="false" ht="15" hidden="false" customHeight="true" outlineLevel="0" collapsed="false">
      <c r="B43" s="29" t="n">
        <v>5</v>
      </c>
      <c r="C43" s="30" t="n">
        <f aca="false">B43/$C$37</f>
        <v>2.5</v>
      </c>
      <c r="D43" s="23" t="n">
        <v>188</v>
      </c>
      <c r="E43" s="33" t="n">
        <f aca="false">D43/(1+$C$36/$C$37)^B43</f>
        <v>174.51294117626</v>
      </c>
      <c r="F43" s="32" t="n">
        <f aca="false">IFERROR(E43/C59,0)</f>
        <v>0.0587609071327553</v>
      </c>
      <c r="G43" s="32" t="n">
        <f aca="false">C43*F43</f>
        <v>0.146902267831888</v>
      </c>
    </row>
    <row r="44" customFormat="false" ht="15" hidden="false" customHeight="true" outlineLevel="0" collapsed="false">
      <c r="B44" s="34" t="n">
        <v>6</v>
      </c>
      <c r="C44" s="35" t="n">
        <f aca="false">B44/$C$37</f>
        <v>3</v>
      </c>
      <c r="D44" s="23" t="n">
        <v>185</v>
      </c>
      <c r="E44" s="37" t="n">
        <f aca="false">D44/(1+$C$36/$C$37)^B44</f>
        <v>169.190305615806</v>
      </c>
      <c r="F44" s="36" t="n">
        <f aca="false">IFERROR(E44/C59,0)</f>
        <v>0.0569687025445956</v>
      </c>
      <c r="G44" s="36" t="n">
        <f aca="false">C44*F44</f>
        <v>0.170906107633787</v>
      </c>
    </row>
    <row r="45" customFormat="false" ht="15" hidden="false" customHeight="true" outlineLevel="0" collapsed="false">
      <c r="B45" s="29" t="n">
        <v>7</v>
      </c>
      <c r="C45" s="30" t="n">
        <f aca="false">B45/$C$37</f>
        <v>3.5</v>
      </c>
      <c r="D45" s="23" t="n">
        <v>182</v>
      </c>
      <c r="E45" s="33" t="n">
        <f aca="false">D45/(1+$C$36/$C$37)^B45</f>
        <v>163.986875899756</v>
      </c>
      <c r="F45" s="32" t="n">
        <f aca="false">IFERROR(E45/C59,0)</f>
        <v>0.0552166362035223</v>
      </c>
      <c r="G45" s="32" t="n">
        <f aca="false">C45*F45</f>
        <v>0.193258226712328</v>
      </c>
    </row>
    <row r="46" customFormat="false" ht="15" hidden="false" customHeight="true" outlineLevel="0" collapsed="false">
      <c r="B46" s="34" t="n">
        <v>8</v>
      </c>
      <c r="C46" s="35" t="n">
        <f aca="false">B46/$C$37</f>
        <v>4</v>
      </c>
      <c r="D46" s="23" t="n">
        <v>179</v>
      </c>
      <c r="E46" s="37" t="n">
        <f aca="false">D46/(1+$C$36/$C$37)^B46</f>
        <v>158.900291160377</v>
      </c>
      <c r="F46" s="36" t="n">
        <f aca="false">IFERROR(E46/C59,0)</f>
        <v>0.0535039131729037</v>
      </c>
      <c r="G46" s="36" t="n">
        <f aca="false">C46*F46</f>
        <v>0.214015652691615</v>
      </c>
    </row>
    <row r="47" customFormat="false" ht="15" hidden="false" customHeight="true" outlineLevel="0" collapsed="false">
      <c r="B47" s="29" t="n">
        <v>9</v>
      </c>
      <c r="C47" s="30" t="n">
        <f aca="false">B47/$C$37</f>
        <v>4.5</v>
      </c>
      <c r="D47" s="23" t="n">
        <v>176</v>
      </c>
      <c r="E47" s="33" t="n">
        <f aca="false">D47/(1+$C$36/$C$37)^B47</f>
        <v>153.928234274851</v>
      </c>
      <c r="F47" s="32" t="n">
        <f aca="false">IFERROR(E47/C59,0)</f>
        <v>0.0518297532456232</v>
      </c>
      <c r="G47" s="32" t="n">
        <f aca="false">C47*F47</f>
        <v>0.233233889605304</v>
      </c>
    </row>
    <row r="48" customFormat="false" ht="15" hidden="false" customHeight="true" outlineLevel="0" collapsed="false">
      <c r="B48" s="34" t="n">
        <v>10</v>
      </c>
      <c r="C48" s="35" t="n">
        <f aca="false">B48/$C$37</f>
        <v>5</v>
      </c>
      <c r="D48" s="23" t="n">
        <v>173</v>
      </c>
      <c r="E48" s="37" t="n">
        <f aca="false">D48/(1+$C$36/$C$37)^B48</f>
        <v>149.068431087938</v>
      </c>
      <c r="F48" s="36" t="n">
        <f aca="false">IFERROR(E48/C59,0)</f>
        <v>0.0501933906823377</v>
      </c>
      <c r="G48" s="36" t="n">
        <f aca="false">C48*F48</f>
        <v>0.250966953411689</v>
      </c>
    </row>
    <row r="49" customFormat="false" ht="15" hidden="false" customHeight="true" outlineLevel="0" collapsed="false">
      <c r="B49" s="29" t="n">
        <v>11</v>
      </c>
      <c r="C49" s="30" t="n">
        <f aca="false">B49/$C$37</f>
        <v>5.5</v>
      </c>
      <c r="D49" s="23" t="n">
        <v>170</v>
      </c>
      <c r="E49" s="33" t="n">
        <f aca="false">D49/(1+$C$36/$C$37)^B49</f>
        <v>144.318649648051</v>
      </c>
      <c r="F49" s="32" t="n">
        <f aca="false">IFERROR(E49/C59,0)</f>
        <v>0.0485940739542551</v>
      </c>
      <c r="G49" s="32" t="n">
        <f aca="false">C49*F49</f>
        <v>0.267267406748403</v>
      </c>
    </row>
    <row r="50" customFormat="false" ht="15" hidden="false" customHeight="true" outlineLevel="0" collapsed="false">
      <c r="B50" s="34" t="n">
        <v>12</v>
      </c>
      <c r="C50" s="35" t="n">
        <f aca="false">B50/$C$37</f>
        <v>6</v>
      </c>
      <c r="D50" s="23" t="n">
        <v>167</v>
      </c>
      <c r="E50" s="37" t="n">
        <f aca="false">D50/(1+$C$36/$C$37)^B50</f>
        <v>139.676699456531</v>
      </c>
      <c r="F50" s="36" t="n">
        <f aca="false">IFERROR(E50/C59,0)</f>
        <v>0.0470310654903541</v>
      </c>
      <c r="G50" s="36" t="n">
        <f aca="false">C50*F50</f>
        <v>0.282186392942124</v>
      </c>
    </row>
    <row r="51" customFormat="false" ht="15" hidden="false" customHeight="true" outlineLevel="0" collapsed="false">
      <c r="B51" s="29" t="n">
        <v>13</v>
      </c>
      <c r="C51" s="30" t="n">
        <f aca="false">B51/$C$37</f>
        <v>6.5</v>
      </c>
      <c r="D51" s="23" t="n">
        <v>164</v>
      </c>
      <c r="E51" s="33" t="n">
        <f aca="false">D51/(1+$C$36/$C$37)^B51</f>
        <v>135.140430729897</v>
      </c>
      <c r="F51" s="32" t="n">
        <f aca="false">IFERROR(E51/C59,0)</f>
        <v>0.045503641428973</v>
      </c>
      <c r="G51" s="32" t="n">
        <f aca="false">C51*F51</f>
        <v>0.295773669288325</v>
      </c>
    </row>
    <row r="52" customFormat="false" ht="15" hidden="false" customHeight="true" outlineLevel="0" collapsed="false">
      <c r="B52" s="34" t="n">
        <v>14</v>
      </c>
      <c r="C52" s="35" t="n">
        <f aca="false">B52/$C$37</f>
        <v>7</v>
      </c>
      <c r="D52" s="23" t="n">
        <v>161</v>
      </c>
      <c r="E52" s="37" t="n">
        <f aca="false">D52/(1+$C$36/$C$37)^B52</f>
        <v>130.707733674837</v>
      </c>
      <c r="F52" s="36" t="n">
        <f aca="false">IFERROR(E52/C59,0)</f>
        <v>0.0440110913736913</v>
      </c>
      <c r="G52" s="36" t="n">
        <f aca="false">C52*F52</f>
        <v>0.308077639615839</v>
      </c>
    </row>
    <row r="53" customFormat="false" ht="15" hidden="false" customHeight="true" outlineLevel="0" collapsed="false">
      <c r="B53" s="29" t="n">
        <v>15</v>
      </c>
      <c r="C53" s="30" t="n">
        <f aca="false">B53/$C$37</f>
        <v>7.5</v>
      </c>
      <c r="D53" s="23" t="n">
        <v>158</v>
      </c>
      <c r="E53" s="33" t="n">
        <f aca="false">D53/(1+$C$36/$C$37)^B53</f>
        <v>126.37653777575</v>
      </c>
      <c r="F53" s="32" t="n">
        <f aca="false">IFERROR(E53/C59,0)</f>
        <v>0.0425527181534328</v>
      </c>
      <c r="G53" s="32" t="n">
        <f aca="false">C53*F53</f>
        <v>0.319145386150746</v>
      </c>
    </row>
    <row r="54" customFormat="false" ht="15" hidden="false" customHeight="true" outlineLevel="0" collapsed="false">
      <c r="B54" s="34" t="n">
        <v>16</v>
      </c>
      <c r="C54" s="35" t="n">
        <f aca="false">B54/$C$37</f>
        <v>8</v>
      </c>
      <c r="D54" s="23" t="n">
        <v>155</v>
      </c>
      <c r="E54" s="37" t="n">
        <f aca="false">D54/(1+$C$36/$C$37)^B54</f>
        <v>122.144811094602</v>
      </c>
      <c r="F54" s="36" t="n">
        <f aca="false">IFERROR(E54/C59,0)</f>
        <v>0.0411278375867188</v>
      </c>
      <c r="G54" s="36" t="n">
        <f aca="false">C54*F54</f>
        <v>0.32902270069375</v>
      </c>
    </row>
    <row r="55" customFormat="false" ht="15" hidden="false" customHeight="true" outlineLevel="0" collapsed="false">
      <c r="B55" s="29" t="n">
        <v>17</v>
      </c>
      <c r="C55" s="30" t="n">
        <f aca="false">B55/$C$37</f>
        <v>8.5</v>
      </c>
      <c r="D55" s="23" t="n">
        <v>152</v>
      </c>
      <c r="E55" s="33" t="n">
        <f aca="false">D55/(1+$C$36/$C$37)^B55</f>
        <v>118.010559582898</v>
      </c>
      <c r="F55" s="32" t="n">
        <f aca="false">IFERROR(E55/C59,0)</f>
        <v>0.03973577825</v>
      </c>
      <c r="G55" s="32" t="n">
        <f aca="false">C55*F55</f>
        <v>0.337754115125</v>
      </c>
    </row>
    <row r="56" customFormat="false" ht="15" hidden="false" customHeight="true" outlineLevel="0" collapsed="false">
      <c r="B56" s="34" t="n">
        <v>18</v>
      </c>
      <c r="C56" s="35" t="n">
        <f aca="false">B56/$C$37</f>
        <v>9</v>
      </c>
      <c r="D56" s="23" t="n">
        <v>149</v>
      </c>
      <c r="E56" s="37" t="n">
        <f aca="false">D56/(1+$C$36/$C$37)^B56</f>
        <v>113.971826405573</v>
      </c>
      <c r="F56" s="36" t="n">
        <f aca="false">IFERROR(E56/C59,0)</f>
        <v>0.03837588125</v>
      </c>
      <c r="G56" s="36" t="n">
        <f aca="false">C56*F56</f>
        <v>0.34538293125</v>
      </c>
    </row>
    <row r="57" customFormat="false" ht="15" hidden="false" customHeight="true" outlineLevel="0" collapsed="false">
      <c r="B57" s="29" t="n">
        <v>19</v>
      </c>
      <c r="C57" s="30" t="n">
        <f aca="false">B57/$C$37</f>
        <v>9.5</v>
      </c>
      <c r="D57" s="23" t="n">
        <v>146</v>
      </c>
      <c r="E57" s="33" t="n">
        <f aca="false">D57/(1+$C$36/$C$37)^B57</f>
        <v>110.026691276581</v>
      </c>
      <c r="F57" s="32" t="n">
        <f aca="false">IFERROR(E57/C59,0)</f>
        <v>0.0370475</v>
      </c>
      <c r="G57" s="32" t="n">
        <f aca="false">C57*F57</f>
        <v>0.35195125</v>
      </c>
    </row>
    <row r="58" customFormat="false" ht="15" hidden="false" customHeight="true" outlineLevel="0" collapsed="false">
      <c r="B58" s="34" t="n">
        <v>20</v>
      </c>
      <c r="C58" s="35" t="n">
        <f aca="false">B58/$C$37</f>
        <v>10</v>
      </c>
      <c r="D58" s="23" t="n">
        <v>143</v>
      </c>
      <c r="E58" s="37" t="n">
        <f aca="false">D58/(1+$C$36/$C$37)^B58</f>
        <v>106.173269805999</v>
      </c>
      <c r="F58" s="36" t="n">
        <f aca="false">IFERROR(E58/C59,0)</f>
        <v>0.03575</v>
      </c>
      <c r="G58" s="36" t="n">
        <f aca="false">C58*F58</f>
        <v>0.3575</v>
      </c>
    </row>
    <row r="59" customFormat="false" ht="15" hidden="false" customHeight="true" outlineLevel="0" collapsed="false">
      <c r="B59" s="8" t="s">
        <v>368</v>
      </c>
      <c r="C59" s="46" t="n">
        <f aca="false">SUM(E39:E58)</f>
        <v>2969.88167289509</v>
      </c>
    </row>
    <row r="60" customFormat="false" ht="15" hidden="false" customHeight="true" outlineLevel="0" collapsed="false">
      <c r="B60" s="8" t="s">
        <v>369</v>
      </c>
      <c r="C60" s="43" t="n">
        <f aca="false">SUMPRODUCT(C39:C58,F39:F58)</f>
        <v>4.71579648352146</v>
      </c>
      <c r="D60" s="3" t="s">
        <v>370</v>
      </c>
      <c r="E60" s="3"/>
      <c r="F60" s="3"/>
      <c r="G60" s="3"/>
    </row>
  </sheetData>
  <mergeCells count="11">
    <mergeCell ref="B2:G2"/>
    <mergeCell ref="B3:G3"/>
    <mergeCell ref="B5:G5"/>
    <mergeCell ref="B6:G6"/>
    <mergeCell ref="D13:G13"/>
    <mergeCell ref="B19:G19"/>
    <mergeCell ref="B20:G20"/>
    <mergeCell ref="D31:G31"/>
    <mergeCell ref="B34:G34"/>
    <mergeCell ref="B35:G35"/>
    <mergeCell ref="D60:G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8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2" t="s">
        <v>371</v>
      </c>
      <c r="C2" s="22"/>
      <c r="D2" s="22"/>
      <c r="E2" s="22"/>
      <c r="F2" s="22"/>
    </row>
    <row r="3" customFormat="false" ht="45" hidden="false" customHeight="true" outlineLevel="0" collapsed="false">
      <c r="B3" s="3" t="s">
        <v>372</v>
      </c>
      <c r="C3" s="3"/>
      <c r="D3" s="3"/>
      <c r="E3" s="3"/>
      <c r="F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373</v>
      </c>
      <c r="C5" s="19"/>
      <c r="D5" s="19"/>
      <c r="E5" s="19"/>
      <c r="F5" s="19"/>
    </row>
    <row r="6" customFormat="false" ht="54.75" hidden="false" customHeight="true" outlineLevel="0" collapsed="false">
      <c r="B6" s="3" t="s">
        <v>374</v>
      </c>
      <c r="C6" s="3"/>
      <c r="D6" s="3"/>
      <c r="E6" s="3"/>
      <c r="F6" s="3"/>
    </row>
    <row r="7" customFormat="false" ht="15" hidden="false" customHeight="true" outlineLevel="0" collapsed="false">
      <c r="B7" s="9" t="s">
        <v>375</v>
      </c>
      <c r="C7" s="39" t="n">
        <v>90</v>
      </c>
      <c r="D7" s="3" t="s">
        <v>376</v>
      </c>
      <c r="E7" s="3"/>
      <c r="F7" s="3"/>
    </row>
    <row r="8" customFormat="false" ht="15" hidden="false" customHeight="true" outlineLevel="0" collapsed="false">
      <c r="B8" s="9" t="s">
        <v>377</v>
      </c>
      <c r="C8" s="23" t="n">
        <v>100</v>
      </c>
    </row>
    <row r="9" customFormat="false" ht="15" hidden="false" customHeight="true" outlineLevel="0" collapsed="false">
      <c r="B9" s="9" t="s">
        <v>378</v>
      </c>
      <c r="C9" s="24" t="n">
        <v>0.05</v>
      </c>
      <c r="D9" s="3" t="s">
        <v>379</v>
      </c>
      <c r="E9" s="3"/>
      <c r="F9" s="3"/>
    </row>
    <row r="10" customFormat="false" ht="15" hidden="false" customHeight="true" outlineLevel="0" collapsed="false">
      <c r="B10" s="9" t="s">
        <v>380</v>
      </c>
      <c r="C10" s="24" t="n">
        <v>0.7</v>
      </c>
      <c r="D10" s="3" t="s">
        <v>381</v>
      </c>
      <c r="E10" s="3"/>
      <c r="F10" s="3"/>
    </row>
    <row r="11" customFormat="false" ht="7.5" hidden="false" customHeight="true" outlineLevel="0" collapsed="false"/>
    <row r="12" customFormat="false" ht="15" hidden="false" customHeight="true" outlineLevel="0" collapsed="false">
      <c r="B12" s="8" t="s">
        <v>382</v>
      </c>
      <c r="C12" s="27" t="n">
        <f aca="false">(1-C9)*C8 + C9*C10*C8</f>
        <v>98.5</v>
      </c>
      <c r="D12" s="3" t="s">
        <v>383</v>
      </c>
      <c r="E12" s="3"/>
      <c r="F12" s="3"/>
    </row>
    <row r="13" customFormat="false" ht="15" hidden="false" customHeight="true" outlineLevel="0" collapsed="false">
      <c r="B13" s="8" t="s">
        <v>384</v>
      </c>
      <c r="C13" s="40" t="n">
        <f aca="false">C12/C7-1</f>
        <v>0.0944444444444446</v>
      </c>
      <c r="D13" s="3" t="s">
        <v>385</v>
      </c>
      <c r="E13" s="3"/>
      <c r="F13" s="3"/>
    </row>
    <row r="14" customFormat="false" ht="15" hidden="false" customHeight="true" outlineLevel="0" collapsed="false">
      <c r="B14" s="8" t="s">
        <v>386</v>
      </c>
      <c r="C14" s="66" t="n">
        <f aca="false">C8/C7-1</f>
        <v>0.111111111111111</v>
      </c>
      <c r="D14" s="3" t="s">
        <v>387</v>
      </c>
      <c r="E14" s="3"/>
      <c r="F14" s="3"/>
    </row>
    <row r="15" customFormat="false" ht="15" hidden="false" customHeight="true" outlineLevel="0" collapsed="false">
      <c r="B15" s="8" t="s">
        <v>388</v>
      </c>
      <c r="C15" s="40" t="n">
        <f aca="false">C14-C13</f>
        <v>0.0166666666666666</v>
      </c>
      <c r="D15" s="3" t="s">
        <v>389</v>
      </c>
      <c r="E15" s="3"/>
      <c r="F15" s="3"/>
    </row>
    <row r="16" customFormat="false" ht="20.25" hidden="false" customHeight="true" outlineLevel="0" collapsed="false">
      <c r="B16" s="9" t="s">
        <v>390</v>
      </c>
      <c r="C16" s="31" t="n">
        <v>0.02</v>
      </c>
      <c r="D16" s="8" t="s">
        <v>391</v>
      </c>
      <c r="E16" s="40" t="n">
        <f aca="false">C14-C16</f>
        <v>0.0911111111111112</v>
      </c>
    </row>
    <row r="17" customFormat="false" ht="7.5" hidden="false" customHeight="true" outlineLevel="0" collapsed="false"/>
    <row r="18" customFormat="false" ht="15" hidden="false" customHeight="true" outlineLevel="0" collapsed="false">
      <c r="B18" s="19" t="s">
        <v>392</v>
      </c>
      <c r="C18" s="19"/>
      <c r="D18" s="19"/>
      <c r="E18" s="19"/>
      <c r="F18" s="19"/>
    </row>
    <row r="19" customFormat="false" ht="15" hidden="false" customHeight="true" outlineLevel="0" collapsed="false">
      <c r="B19" s="9" t="s">
        <v>393</v>
      </c>
      <c r="C19" s="31" t="n">
        <v>0.09</v>
      </c>
    </row>
    <row r="20" customFormat="false" ht="20.25" hidden="false" customHeight="true" outlineLevel="0" collapsed="false">
      <c r="B20" s="9" t="s">
        <v>394</v>
      </c>
      <c r="C20" s="31" t="n">
        <v>0.045</v>
      </c>
    </row>
    <row r="21" customFormat="false" ht="15" hidden="false" customHeight="true" outlineLevel="0" collapsed="false">
      <c r="B21" s="8" t="s">
        <v>395</v>
      </c>
      <c r="C21" s="40" t="n">
        <f aca="false">C19-C20</f>
        <v>0.045</v>
      </c>
    </row>
    <row r="22" customFormat="false" ht="15" hidden="false" customHeight="true" outlineLevel="0" collapsed="false">
      <c r="B22" s="8" t="s">
        <v>396</v>
      </c>
      <c r="C22" s="46" t="n">
        <f aca="false">(C19-C20)*10000</f>
        <v>450</v>
      </c>
      <c r="D22" s="3" t="s">
        <v>397</v>
      </c>
      <c r="E22" s="3"/>
      <c r="F22" s="3"/>
    </row>
    <row r="23" customFormat="false" ht="7.5" hidden="false" customHeight="true" outlineLevel="0" collapsed="false"/>
    <row r="24" customFormat="false" ht="15" hidden="false" customHeight="true" outlineLevel="0" collapsed="false">
      <c r="B24" s="19" t="s">
        <v>398</v>
      </c>
      <c r="C24" s="19"/>
      <c r="D24" s="19"/>
      <c r="E24" s="19"/>
      <c r="F24" s="19"/>
    </row>
    <row r="25" customFormat="false" ht="54.75" hidden="false" customHeight="true" outlineLevel="0" collapsed="false">
      <c r="B25" s="3" t="s">
        <v>399</v>
      </c>
      <c r="C25" s="3"/>
      <c r="D25" s="3"/>
      <c r="E25" s="3"/>
      <c r="F25" s="3"/>
    </row>
    <row r="26" customFormat="false" ht="20.25" hidden="false" customHeight="true" outlineLevel="0" collapsed="false">
      <c r="B26" s="9" t="s">
        <v>400</v>
      </c>
      <c r="C26" s="31" t="n">
        <v>0.03</v>
      </c>
    </row>
    <row r="27" customFormat="false" ht="15" hidden="false" customHeight="true" outlineLevel="0" collapsed="false">
      <c r="B27" s="9" t="s">
        <v>401</v>
      </c>
      <c r="C27" s="31" t="n">
        <v>0.02</v>
      </c>
    </row>
    <row r="28" customFormat="false" ht="15" hidden="false" customHeight="true" outlineLevel="0" collapsed="false">
      <c r="B28" s="9" t="s">
        <v>207</v>
      </c>
      <c r="C28" s="23" t="n">
        <v>100</v>
      </c>
    </row>
    <row r="29" customFormat="false" ht="15" hidden="false" customHeight="true" outlineLevel="0" collapsed="false">
      <c r="B29" s="9" t="s">
        <v>402</v>
      </c>
      <c r="C29" s="26" t="n">
        <v>2</v>
      </c>
    </row>
    <row r="30" customFormat="false" ht="15" hidden="false" customHeight="true" outlineLevel="0" collapsed="false">
      <c r="B30" s="9" t="s">
        <v>403</v>
      </c>
      <c r="C30" s="25" t="n">
        <v>5</v>
      </c>
    </row>
    <row r="31" customFormat="false" ht="7.5" hidden="false" customHeight="true" outlineLevel="0" collapsed="false"/>
    <row r="32" customFormat="false" ht="20.25" hidden="false" customHeight="true" outlineLevel="0" collapsed="false">
      <c r="B32" s="8" t="s">
        <v>404</v>
      </c>
      <c r="C32" s="66" t="n">
        <f aca="false">C26+C27</f>
        <v>0.05</v>
      </c>
    </row>
    <row r="33" customFormat="false" ht="15" hidden="false" customHeight="true" outlineLevel="0" collapsed="false">
      <c r="B33" s="8" t="s">
        <v>405</v>
      </c>
      <c r="C33" s="38" t="n">
        <f aca="false">C28*C32/C29</f>
        <v>2.5</v>
      </c>
      <c r="D33" s="3" t="s">
        <v>406</v>
      </c>
      <c r="E33" s="3"/>
      <c r="F33" s="3"/>
    </row>
    <row r="34" customFormat="false" ht="20.25" hidden="false" customHeight="true" outlineLevel="0" collapsed="false">
      <c r="B34" s="8" t="s">
        <v>407</v>
      </c>
      <c r="C34" s="43" t="n">
        <f aca="false">(1/C29)/(1+C32/C29)</f>
        <v>0.487804878048781</v>
      </c>
      <c r="D34" s="3" t="s">
        <v>408</v>
      </c>
      <c r="E34" s="3"/>
      <c r="F34" s="3"/>
    </row>
    <row r="35" customFormat="false" ht="15" hidden="false" customHeight="true" outlineLevel="0" collapsed="false">
      <c r="B35" s="8" t="s">
        <v>409</v>
      </c>
      <c r="C35" s="43" t="n">
        <f aca="false">C34*(1+C32/C29)</f>
        <v>0.5</v>
      </c>
      <c r="D35" s="3" t="s">
        <v>410</v>
      </c>
      <c r="E35" s="3"/>
      <c r="F35" s="3"/>
    </row>
    <row r="36" customFormat="false" ht="20.25" hidden="false" customHeight="true" outlineLevel="0" collapsed="false">
      <c r="B36" s="9" t="s">
        <v>411</v>
      </c>
      <c r="C36" s="44" t="n">
        <f aca="false">-C34*(-0.01)</f>
        <v>0.00487804878048781</v>
      </c>
      <c r="D36" s="3" t="s">
        <v>412</v>
      </c>
      <c r="E36" s="3"/>
      <c r="F36" s="3"/>
    </row>
  </sheetData>
  <mergeCells count="19">
    <mergeCell ref="B2:F2"/>
    <mergeCell ref="B3:F3"/>
    <mergeCell ref="B5:F5"/>
    <mergeCell ref="B6:F6"/>
    <mergeCell ref="D7:F7"/>
    <mergeCell ref="D9:F9"/>
    <mergeCell ref="D10:F10"/>
    <mergeCell ref="D12:F12"/>
    <mergeCell ref="D13:F13"/>
    <mergeCell ref="D14:F14"/>
    <mergeCell ref="D15:F15"/>
    <mergeCell ref="B18:F18"/>
    <mergeCell ref="D22:F22"/>
    <mergeCell ref="B24:F24"/>
    <mergeCell ref="B25:F25"/>
    <mergeCell ref="D33:F33"/>
    <mergeCell ref="D34:F34"/>
    <mergeCell ref="D35:F35"/>
    <mergeCell ref="D36:F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5" min="3" style="1" width="16"/>
    <col collapsed="false" customWidth="true" hidden="false" outlineLevel="0" max="6" min="6" style="1" width="30"/>
  </cols>
  <sheetData>
    <row r="2" customFormat="false" ht="27.75" hidden="false" customHeight="true" outlineLevel="0" collapsed="false">
      <c r="B2" s="22" t="s">
        <v>413</v>
      </c>
      <c r="C2" s="22"/>
      <c r="D2" s="22"/>
      <c r="E2" s="22"/>
      <c r="F2" s="22"/>
    </row>
    <row r="3" customFormat="false" ht="39.75" hidden="false" customHeight="true" outlineLevel="0" collapsed="false">
      <c r="B3" s="3" t="s">
        <v>414</v>
      </c>
      <c r="C3" s="3"/>
      <c r="D3" s="3"/>
      <c r="E3" s="3"/>
      <c r="F3" s="3"/>
    </row>
    <row r="4" customFormat="false" ht="7.5" hidden="false" customHeight="true" outlineLevel="0" collapsed="false"/>
    <row r="5" customFormat="false" ht="21.75" hidden="false" customHeight="true" outlineLevel="0" collapsed="false">
      <c r="B5" s="19" t="s">
        <v>415</v>
      </c>
      <c r="C5" s="19"/>
      <c r="D5" s="19"/>
      <c r="E5" s="19"/>
      <c r="F5" s="19"/>
    </row>
    <row r="6" customFormat="false" ht="15" hidden="false" customHeight="true" outlineLevel="0" collapsed="false">
      <c r="B6" s="9" t="s">
        <v>416</v>
      </c>
      <c r="C6" s="23" t="n">
        <v>100</v>
      </c>
    </row>
    <row r="7" customFormat="false" ht="15" hidden="false" customHeight="true" outlineLevel="0" collapsed="false">
      <c r="B7" s="9" t="s">
        <v>417</v>
      </c>
      <c r="C7" s="24" t="n">
        <v>0.05</v>
      </c>
    </row>
    <row r="8" customFormat="false" ht="15" hidden="false" customHeight="true" outlineLevel="0" collapsed="false">
      <c r="B8" s="9" t="s">
        <v>418</v>
      </c>
      <c r="C8" s="26" t="n">
        <v>3</v>
      </c>
    </row>
    <row r="9" customFormat="false" ht="15" hidden="false" customHeight="true" outlineLevel="0" collapsed="false">
      <c r="B9" s="8" t="s">
        <v>419</v>
      </c>
      <c r="C9" s="38" t="n">
        <f aca="false">C6/(1+C7)^C8</f>
        <v>86.3837598531476</v>
      </c>
      <c r="D9" s="37" t="n">
        <f aca="false">PV(C7,C8,0,-C6)</f>
        <v>86.3837598531476</v>
      </c>
      <c r="E9" s="41" t="str">
        <f aca="false">IF(ABS(C9-D9)&lt;0.001,"✅","❌")</f>
        <v>✅</v>
      </c>
    </row>
    <row r="10" customFormat="false" ht="7.5" hidden="false" customHeight="true" outlineLevel="0" collapsed="false"/>
    <row r="11" customFormat="false" ht="21.75" hidden="false" customHeight="true" outlineLevel="0" collapsed="false">
      <c r="B11" s="19" t="s">
        <v>420</v>
      </c>
      <c r="C11" s="19"/>
      <c r="D11" s="19"/>
      <c r="E11" s="19"/>
      <c r="F11" s="19"/>
    </row>
    <row r="12" customFormat="false" ht="15" hidden="false" customHeight="true" outlineLevel="0" collapsed="false">
      <c r="B12" s="9" t="s">
        <v>421</v>
      </c>
      <c r="C12" s="23" t="n">
        <v>90</v>
      </c>
    </row>
    <row r="13" customFormat="false" ht="15" hidden="false" customHeight="true" outlineLevel="0" collapsed="false">
      <c r="B13" s="9" t="s">
        <v>417</v>
      </c>
      <c r="C13" s="24" t="n">
        <v>0.05</v>
      </c>
    </row>
    <row r="14" customFormat="false" ht="15" hidden="false" customHeight="true" outlineLevel="0" collapsed="false">
      <c r="B14" s="9" t="s">
        <v>418</v>
      </c>
      <c r="C14" s="26" t="n">
        <v>3</v>
      </c>
    </row>
    <row r="15" customFormat="false" ht="15" hidden="false" customHeight="true" outlineLevel="0" collapsed="false">
      <c r="B15" s="8" t="s">
        <v>422</v>
      </c>
      <c r="C15" s="38" t="n">
        <f aca="false">C12*(1+C13)^C14</f>
        <v>104.18625</v>
      </c>
      <c r="D15" s="37" t="n">
        <f aca="false">FV(C13,C14,0,-C12)</f>
        <v>104.18625</v>
      </c>
      <c r="E15" s="41" t="str">
        <f aca="false">IF(ABS(C15-D15)&lt;0.001,"✅","❌")</f>
        <v>✅</v>
      </c>
    </row>
    <row r="16" customFormat="false" ht="7.5" hidden="false" customHeight="true" outlineLevel="0" collapsed="false"/>
    <row r="17" customFormat="false" ht="21.75" hidden="false" customHeight="true" outlineLevel="0" collapsed="false">
      <c r="B17" s="19" t="s">
        <v>423</v>
      </c>
      <c r="C17" s="19"/>
      <c r="D17" s="19"/>
      <c r="E17" s="19"/>
      <c r="F17" s="19"/>
    </row>
    <row r="18" customFormat="false" ht="15" hidden="false" customHeight="true" outlineLevel="0" collapsed="false">
      <c r="B18" s="9" t="s">
        <v>424</v>
      </c>
      <c r="C18" s="23" t="n">
        <v>10</v>
      </c>
    </row>
    <row r="19" customFormat="false" ht="15" hidden="false" customHeight="true" outlineLevel="0" collapsed="false">
      <c r="B19" s="9" t="s">
        <v>417</v>
      </c>
      <c r="C19" s="24" t="n">
        <v>0.05</v>
      </c>
    </row>
    <row r="20" customFormat="false" ht="15" hidden="false" customHeight="true" outlineLevel="0" collapsed="false">
      <c r="B20" s="9" t="s">
        <v>418</v>
      </c>
      <c r="C20" s="26" t="n">
        <v>4</v>
      </c>
    </row>
    <row r="21" customFormat="false" ht="15" hidden="false" customHeight="true" outlineLevel="0" collapsed="false">
      <c r="B21" s="8" t="s">
        <v>419</v>
      </c>
      <c r="C21" s="38" t="n">
        <f aca="false">C18*(1-(1+C19)^-C20)/C19</f>
        <v>35.4595050416236</v>
      </c>
      <c r="D21" s="37" t="n">
        <f aca="false">-PV(C19,C20,C18)</f>
        <v>35.4595050416236</v>
      </c>
      <c r="E21" s="41" t="str">
        <f aca="false">IF(ABS(C21-D21)&lt;0.001,"✅","❌")</f>
        <v>✅</v>
      </c>
    </row>
    <row r="22" customFormat="false" ht="7.5" hidden="false" customHeight="true" outlineLevel="0" collapsed="false"/>
    <row r="23" customFormat="false" ht="21.75" hidden="false" customHeight="true" outlineLevel="0" collapsed="false">
      <c r="B23" s="19" t="s">
        <v>425</v>
      </c>
      <c r="C23" s="19"/>
      <c r="D23" s="19"/>
      <c r="E23" s="19"/>
      <c r="F23" s="19"/>
    </row>
    <row r="24" customFormat="false" ht="15" hidden="false" customHeight="true" outlineLevel="0" collapsed="false">
      <c r="B24" s="9" t="s">
        <v>424</v>
      </c>
      <c r="C24" s="23" t="n">
        <v>10</v>
      </c>
    </row>
    <row r="25" customFormat="false" ht="15" hidden="false" customHeight="true" outlineLevel="0" collapsed="false">
      <c r="B25" s="9" t="s">
        <v>417</v>
      </c>
      <c r="C25" s="24" t="n">
        <v>0.05</v>
      </c>
    </row>
    <row r="26" customFormat="false" ht="15" hidden="false" customHeight="true" outlineLevel="0" collapsed="false">
      <c r="B26" s="9" t="s">
        <v>418</v>
      </c>
      <c r="C26" s="26" t="n">
        <v>4</v>
      </c>
    </row>
    <row r="27" customFormat="false" ht="15" hidden="false" customHeight="true" outlineLevel="0" collapsed="false">
      <c r="B27" s="8" t="s">
        <v>422</v>
      </c>
      <c r="C27" s="38" t="n">
        <f aca="false">C24*((1+C25)^C26-1)/C25</f>
        <v>43.10125</v>
      </c>
      <c r="D27" s="37" t="n">
        <f aca="false">FV(C25,C26,-C24)</f>
        <v>43.10125</v>
      </c>
      <c r="E27" s="41" t="str">
        <f aca="false">IF(ABS(C27-D27)&lt;0.001,"✅","❌")</f>
        <v>✅</v>
      </c>
    </row>
    <row r="28" customFormat="false" ht="7.5" hidden="false" customHeight="true" outlineLevel="0" collapsed="false"/>
    <row r="29" customFormat="false" ht="21.75" hidden="false" customHeight="true" outlineLevel="0" collapsed="false">
      <c r="B29" s="19" t="s">
        <v>426</v>
      </c>
      <c r="C29" s="19"/>
      <c r="D29" s="19"/>
      <c r="E29" s="19"/>
      <c r="F29" s="19"/>
    </row>
    <row r="30" customFormat="false" ht="15" hidden="false" customHeight="true" outlineLevel="0" collapsed="false">
      <c r="B30" s="9" t="s">
        <v>424</v>
      </c>
      <c r="C30" s="23" t="n">
        <v>10</v>
      </c>
    </row>
    <row r="31" customFormat="false" ht="15" hidden="false" customHeight="true" outlineLevel="0" collapsed="false">
      <c r="B31" s="9" t="s">
        <v>417</v>
      </c>
      <c r="C31" s="24" t="n">
        <v>0.05</v>
      </c>
    </row>
    <row r="32" customFormat="false" ht="15" hidden="false" customHeight="true" outlineLevel="0" collapsed="false">
      <c r="B32" s="8" t="s">
        <v>419</v>
      </c>
      <c r="C32" s="38" t="n">
        <f aca="false">C30/C31</f>
        <v>200</v>
      </c>
    </row>
    <row r="33" customFormat="false" ht="7.5" hidden="false" customHeight="true" outlineLevel="0" collapsed="false"/>
    <row r="34" customFormat="false" ht="21.75" hidden="false" customHeight="true" outlineLevel="0" collapsed="false">
      <c r="B34" s="19" t="s">
        <v>427</v>
      </c>
      <c r="C34" s="19"/>
      <c r="D34" s="19"/>
      <c r="E34" s="19"/>
      <c r="F34" s="19"/>
    </row>
    <row r="35" customFormat="false" ht="15" hidden="false" customHeight="true" outlineLevel="0" collapsed="false">
      <c r="B35" s="9" t="s">
        <v>428</v>
      </c>
      <c r="C35" s="23" t="n">
        <v>74.83</v>
      </c>
    </row>
    <row r="36" customFormat="false" ht="15" hidden="false" customHeight="true" outlineLevel="0" collapsed="false">
      <c r="B36" s="9" t="s">
        <v>429</v>
      </c>
      <c r="C36" s="24" t="n">
        <v>0.08</v>
      </c>
    </row>
    <row r="37" customFormat="false" ht="15" hidden="false" customHeight="true" outlineLevel="0" collapsed="false">
      <c r="B37" s="9" t="s">
        <v>430</v>
      </c>
      <c r="C37" s="24" t="n">
        <v>0.06</v>
      </c>
    </row>
    <row r="38" customFormat="false" ht="15" hidden="false" customHeight="true" outlineLevel="0" collapsed="false">
      <c r="B38" s="8" t="s">
        <v>431</v>
      </c>
      <c r="C38" s="38" t="n">
        <f aca="false">C35*(1+C37)/(C36-C37)</f>
        <v>3965.99</v>
      </c>
    </row>
    <row r="39" customFormat="false" ht="7.5" hidden="false" customHeight="true" outlineLevel="0" collapsed="false"/>
    <row r="41" customFormat="false" ht="21.75" hidden="false" customHeight="true" outlineLevel="0" collapsed="false">
      <c r="B41" s="19" t="s">
        <v>432</v>
      </c>
      <c r="C41" s="19"/>
      <c r="D41" s="19"/>
      <c r="E41" s="19"/>
      <c r="F41" s="19"/>
    </row>
    <row r="42" customFormat="false" ht="64.5" hidden="false" customHeight="true" outlineLevel="0" collapsed="false">
      <c r="B42" s="3" t="s">
        <v>433</v>
      </c>
      <c r="C42" s="3"/>
      <c r="D42" s="3"/>
      <c r="E42" s="3"/>
      <c r="F42" s="3"/>
    </row>
    <row r="43" customFormat="false" ht="7.5" hidden="false" customHeight="true" outlineLevel="0" collapsed="false"/>
    <row r="44" customFormat="false" ht="15" hidden="false" customHeight="true" outlineLevel="0" collapsed="false">
      <c r="B44" s="9" t="s">
        <v>434</v>
      </c>
      <c r="C44" s="23" t="n">
        <v>90000</v>
      </c>
    </row>
    <row r="45" customFormat="false" ht="15" hidden="false" customHeight="true" outlineLevel="0" collapsed="false">
      <c r="B45" s="9" t="s">
        <v>435</v>
      </c>
      <c r="C45" s="25" t="n">
        <v>5</v>
      </c>
    </row>
    <row r="46" customFormat="false" ht="15" hidden="false" customHeight="true" outlineLevel="0" collapsed="false">
      <c r="B46" s="9" t="s">
        <v>436</v>
      </c>
      <c r="C46" s="31" t="n">
        <v>0.0212</v>
      </c>
    </row>
    <row r="47" customFormat="false" ht="15" hidden="false" customHeight="true" outlineLevel="0" collapsed="false">
      <c r="B47" s="9" t="s">
        <v>437</v>
      </c>
      <c r="C47" s="31" t="n">
        <v>0.0312</v>
      </c>
      <c r="D47" s="3" t="s">
        <v>438</v>
      </c>
      <c r="E47" s="3"/>
      <c r="F47" s="3"/>
    </row>
    <row r="48" customFormat="false" ht="15" hidden="false" customHeight="true" outlineLevel="0" collapsed="false">
      <c r="B48" s="9" t="s">
        <v>439</v>
      </c>
      <c r="C48" s="31" t="n">
        <v>0.0012</v>
      </c>
      <c r="D48" s="3" t="s">
        <v>440</v>
      </c>
      <c r="E48" s="3"/>
      <c r="F48" s="3"/>
    </row>
    <row r="49" customFormat="false" ht="7.5" hidden="false" customHeight="true" outlineLevel="0" collapsed="false"/>
    <row r="50" customFormat="false" ht="15" hidden="false" customHeight="true" outlineLevel="0" collapsed="false">
      <c r="B50" s="8" t="s">
        <v>441</v>
      </c>
      <c r="C50" s="46" t="n">
        <f aca="false">C44*(1+C46/2)^(2*C45)</f>
        <v>100008.162643014</v>
      </c>
      <c r="D50" s="3" t="s">
        <v>442</v>
      </c>
      <c r="E50" s="3"/>
      <c r="F50" s="3"/>
    </row>
    <row r="51" customFormat="false" ht="20.25" hidden="false" customHeight="true" outlineLevel="0" collapsed="false">
      <c r="B51" s="8" t="s">
        <v>443</v>
      </c>
      <c r="C51" s="46" t="n">
        <f aca="false">C44*(1+C47)*(1+C48)^(C45-1)</f>
        <v>93254.2809028014</v>
      </c>
      <c r="D51" s="3" t="s">
        <v>444</v>
      </c>
      <c r="E51" s="3"/>
      <c r="F51" s="3"/>
    </row>
    <row r="52" customFormat="false" ht="15" hidden="false" customHeight="true" outlineLevel="0" collapsed="false">
      <c r="B52" s="9" t="s">
        <v>445</v>
      </c>
      <c r="C52" s="67" t="str">
        <f aca="false">IF(C50&gt;C51,"STRIPS dominates","T-bill rollover dominates")</f>
        <v>STRIPS dominates</v>
      </c>
    </row>
  </sheetData>
  <mergeCells count="14">
    <mergeCell ref="B2:F2"/>
    <mergeCell ref="B3:F3"/>
    <mergeCell ref="B5:F5"/>
    <mergeCell ref="B11:F11"/>
    <mergeCell ref="B17:F17"/>
    <mergeCell ref="B23:F23"/>
    <mergeCell ref="B29:F29"/>
    <mergeCell ref="B34:F34"/>
    <mergeCell ref="B41:F41"/>
    <mergeCell ref="B42:F42"/>
    <mergeCell ref="D47:F47"/>
    <mergeCell ref="D48:F48"/>
    <mergeCell ref="D50:F50"/>
    <mergeCell ref="D51:F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5" min="3" style="1" width="18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2" t="s">
        <v>446</v>
      </c>
      <c r="C2" s="22"/>
      <c r="D2" s="22"/>
      <c r="E2" s="22"/>
      <c r="F2" s="22"/>
    </row>
    <row r="3" customFormat="false" ht="54.75" hidden="false" customHeight="true" outlineLevel="0" collapsed="false">
      <c r="B3" s="3" t="s">
        <v>447</v>
      </c>
      <c r="C3" s="3"/>
      <c r="D3" s="3"/>
      <c r="E3" s="3"/>
      <c r="F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448</v>
      </c>
      <c r="C5" s="19"/>
      <c r="D5" s="19"/>
      <c r="E5" s="19"/>
      <c r="F5" s="19"/>
    </row>
    <row r="6" customFormat="false" ht="15" hidden="false" customHeight="true" outlineLevel="0" collapsed="false">
      <c r="B6" s="9" t="s">
        <v>449</v>
      </c>
      <c r="C6" s="24" t="n">
        <v>0.15</v>
      </c>
    </row>
    <row r="7" customFormat="false" ht="15" hidden="false" customHeight="true" outlineLevel="0" collapsed="false">
      <c r="B7" s="9" t="s">
        <v>450</v>
      </c>
      <c r="C7" s="24" t="n">
        <v>-0.05</v>
      </c>
    </row>
    <row r="8" customFormat="false" ht="15" hidden="false" customHeight="true" outlineLevel="0" collapsed="false">
      <c r="B8" s="9" t="s">
        <v>451</v>
      </c>
      <c r="C8" s="24" t="n">
        <v>0.5</v>
      </c>
    </row>
    <row r="9" customFormat="false" ht="15" hidden="false" customHeight="true" outlineLevel="0" collapsed="false">
      <c r="B9" s="9" t="s">
        <v>452</v>
      </c>
      <c r="C9" s="24" t="n">
        <v>0.04</v>
      </c>
    </row>
    <row r="10" customFormat="false" ht="15" hidden="false" customHeight="true" outlineLevel="0" collapsed="false">
      <c r="B10" s="9" t="s">
        <v>453</v>
      </c>
      <c r="C10" s="23" t="n">
        <v>100</v>
      </c>
    </row>
    <row r="11" customFormat="false" ht="15" hidden="false" customHeight="true" outlineLevel="0" collapsed="false">
      <c r="B11" s="9" t="s">
        <v>454</v>
      </c>
      <c r="C11" s="23" t="n">
        <v>20</v>
      </c>
    </row>
    <row r="12" customFormat="false" ht="15" hidden="false" customHeight="true" outlineLevel="0" collapsed="false">
      <c r="B12" s="9" t="s">
        <v>455</v>
      </c>
      <c r="C12" s="51" t="n">
        <f aca="false">C10-C11</f>
        <v>80</v>
      </c>
    </row>
    <row r="13" customFormat="false" ht="15" hidden="false" customHeight="true" outlineLevel="0" collapsed="false">
      <c r="B13" s="9" t="s">
        <v>456</v>
      </c>
      <c r="C13" s="68" t="n">
        <f aca="false">C12/C11</f>
        <v>4</v>
      </c>
    </row>
    <row r="14" customFormat="false" ht="7.5" hidden="false" customHeight="true" outlineLevel="0" collapsed="false"/>
    <row r="15" customFormat="false" ht="15" hidden="false" customHeight="true" outlineLevel="0" collapsed="false">
      <c r="B15" s="19" t="s">
        <v>457</v>
      </c>
      <c r="C15" s="19"/>
      <c r="D15" s="19"/>
      <c r="E15" s="19"/>
      <c r="F15" s="19"/>
    </row>
    <row r="16" customFormat="false" ht="15" hidden="false" customHeight="true" outlineLevel="0" collapsed="false">
      <c r="B16" s="16" t="s">
        <v>458</v>
      </c>
      <c r="C16" s="16" t="s">
        <v>459</v>
      </c>
      <c r="D16" s="16" t="s">
        <v>460</v>
      </c>
    </row>
    <row r="17" customFormat="false" ht="15" hidden="false" customHeight="true" outlineLevel="0" collapsed="false">
      <c r="B17" s="7" t="s">
        <v>461</v>
      </c>
      <c r="C17" s="48" t="n">
        <f aca="false">C10*(1+C6)</f>
        <v>115</v>
      </c>
      <c r="D17" s="48" t="n">
        <f aca="false">C10*(1+C6)</f>
        <v>115</v>
      </c>
    </row>
    <row r="18" customFormat="false" ht="15" hidden="false" customHeight="true" outlineLevel="0" collapsed="false">
      <c r="B18" s="9" t="s">
        <v>462</v>
      </c>
      <c r="C18" s="51" t="n">
        <f aca="false">C10*(1+C7)</f>
        <v>95</v>
      </c>
      <c r="D18" s="51" t="n">
        <f aca="false">C10*(1+C7)</f>
        <v>95</v>
      </c>
    </row>
    <row r="19" customFormat="false" ht="15" hidden="false" customHeight="true" outlineLevel="0" collapsed="false">
      <c r="B19" s="7" t="s">
        <v>463</v>
      </c>
      <c r="C19" s="48" t="n">
        <f aca="false">0</f>
        <v>0</v>
      </c>
      <c r="D19" s="48" t="n">
        <f aca="false">C12*(1+C9)</f>
        <v>83.2</v>
      </c>
    </row>
    <row r="20" customFormat="false" ht="15" hidden="false" customHeight="true" outlineLevel="0" collapsed="false">
      <c r="B20" s="9" t="s">
        <v>464</v>
      </c>
      <c r="C20" s="51" t="n">
        <f aca="false">C17-C19</f>
        <v>115</v>
      </c>
      <c r="D20" s="51" t="n">
        <f aca="false">D17-D19</f>
        <v>31.8</v>
      </c>
    </row>
    <row r="21" customFormat="false" ht="15" hidden="false" customHeight="true" outlineLevel="0" collapsed="false">
      <c r="B21" s="7" t="s">
        <v>465</v>
      </c>
      <c r="C21" s="48" t="n">
        <f aca="false">C18-C19</f>
        <v>95</v>
      </c>
      <c r="D21" s="48" t="n">
        <f aca="false">D18-D19</f>
        <v>11.8</v>
      </c>
    </row>
    <row r="22" customFormat="false" ht="15" hidden="false" customHeight="true" outlineLevel="0" collapsed="false">
      <c r="B22" s="9" t="s">
        <v>466</v>
      </c>
      <c r="C22" s="51" t="n">
        <f aca="false">C8*C20+(1-C8)*C21</f>
        <v>105</v>
      </c>
      <c r="D22" s="51" t="n">
        <f aca="false">C8*D20+(1-C8)*D21</f>
        <v>21.8</v>
      </c>
    </row>
    <row r="23" customFormat="false" ht="7.5" hidden="false" customHeight="true" outlineLevel="0" collapsed="false"/>
    <row r="24" customFormat="false" ht="15" hidden="false" customHeight="true" outlineLevel="0" collapsed="false">
      <c r="B24" s="19" t="s">
        <v>467</v>
      </c>
      <c r="C24" s="19"/>
      <c r="D24" s="19"/>
      <c r="E24" s="19"/>
      <c r="F24" s="19"/>
    </row>
    <row r="25" customFormat="false" ht="15" hidden="false" customHeight="true" outlineLevel="0" collapsed="false">
      <c r="B25" s="16" t="s">
        <v>468</v>
      </c>
      <c r="C25" s="16" t="s">
        <v>459</v>
      </c>
      <c r="D25" s="16" t="s">
        <v>460</v>
      </c>
    </row>
    <row r="26" customFormat="false" ht="15" hidden="false" customHeight="true" outlineLevel="0" collapsed="false">
      <c r="B26" s="7" t="s">
        <v>469</v>
      </c>
      <c r="C26" s="57" t="n">
        <f aca="false">(C20/C11)-1</f>
        <v>4.75</v>
      </c>
      <c r="D26" s="57" t="n">
        <f aca="false">(D20/C11)-1</f>
        <v>0.589999999999999</v>
      </c>
    </row>
    <row r="27" customFormat="false" ht="15" hidden="false" customHeight="true" outlineLevel="0" collapsed="false">
      <c r="B27" s="9" t="s">
        <v>470</v>
      </c>
      <c r="C27" s="44" t="n">
        <f aca="false">(C21/C11)-1</f>
        <v>3.75</v>
      </c>
      <c r="D27" s="44" t="n">
        <f aca="false">(D21/C11)-1</f>
        <v>-0.41</v>
      </c>
    </row>
    <row r="28" customFormat="false" ht="15" hidden="false" customHeight="true" outlineLevel="0" collapsed="false">
      <c r="B28" s="7" t="s">
        <v>471</v>
      </c>
      <c r="C28" s="40" t="n">
        <f aca="false">C8*C26+(1-C8)*C27</f>
        <v>4.25</v>
      </c>
      <c r="D28" s="40" t="n">
        <f aca="false">C8*D26+(1-C8)*D27</f>
        <v>0.0899999999999995</v>
      </c>
    </row>
    <row r="29" customFormat="false" ht="15" hidden="false" customHeight="true" outlineLevel="0" collapsed="false">
      <c r="B29" s="9" t="s">
        <v>472</v>
      </c>
      <c r="C29" s="40" t="n">
        <f aca="false">SQRT(C8*(C26-C28)^2+(1-C8)*(C27-C28)^2)</f>
        <v>0.5</v>
      </c>
      <c r="D29" s="40" t="n">
        <f aca="false">SQRT(C8*(D26-D28)^2+(1-C8)*(D27-D28)^2)</f>
        <v>0.5</v>
      </c>
    </row>
    <row r="30" customFormat="false" ht="7.5" hidden="false" customHeight="true" outlineLevel="0" collapsed="false"/>
    <row r="31" customFormat="false" ht="15" hidden="false" customHeight="true" outlineLevel="0" collapsed="false">
      <c r="B31" s="19" t="s">
        <v>473</v>
      </c>
      <c r="C31" s="19"/>
      <c r="D31" s="19"/>
      <c r="E31" s="19"/>
      <c r="F31" s="19"/>
    </row>
    <row r="32" customFormat="false" ht="15" hidden="false" customHeight="true" outlineLevel="0" collapsed="false">
      <c r="B32" s="9" t="s">
        <v>474</v>
      </c>
      <c r="C32" s="44" t="n">
        <f aca="false">C8*C6+(1-C8)*C7</f>
        <v>0.05</v>
      </c>
    </row>
    <row r="33" customFormat="false" ht="20.25" hidden="false" customHeight="true" outlineLevel="0" collapsed="false">
      <c r="B33" s="9" t="s">
        <v>475</v>
      </c>
      <c r="C33" s="44" t="n">
        <f aca="false">C32+C13*(C32-C9)</f>
        <v>0.09</v>
      </c>
      <c r="D33" s="67" t="str">
        <f aca="false">IF(ABS(C33-D28)&lt;0.0001,"✅ Matches leveraged E[R]","❌ Check")</f>
        <v>✅ Matches leveraged E[R]</v>
      </c>
    </row>
  </sheetData>
  <mergeCells count="6">
    <mergeCell ref="B2:F2"/>
    <mergeCell ref="B3:F3"/>
    <mergeCell ref="B5:F5"/>
    <mergeCell ref="B15:F15"/>
    <mergeCell ref="B24:F24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6" min="3" style="1" width="14"/>
    <col collapsed="false" customWidth="true" hidden="false" outlineLevel="0" max="7" min="7" style="1" width="32"/>
  </cols>
  <sheetData>
    <row r="2" customFormat="false" ht="27.75" hidden="false" customHeight="true" outlineLevel="0" collapsed="false">
      <c r="B2" s="22" t="s">
        <v>476</v>
      </c>
      <c r="C2" s="22"/>
      <c r="D2" s="22"/>
      <c r="E2" s="22"/>
      <c r="F2" s="22"/>
      <c r="G2" s="22"/>
    </row>
    <row r="3" customFormat="false" ht="54.75" hidden="false" customHeight="true" outlineLevel="0" collapsed="false">
      <c r="B3" s="3" t="s">
        <v>477</v>
      </c>
      <c r="C3" s="3"/>
      <c r="D3" s="3"/>
      <c r="E3" s="3"/>
      <c r="F3" s="3"/>
      <c r="G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478</v>
      </c>
      <c r="C5" s="19"/>
      <c r="D5" s="19"/>
      <c r="E5" s="19"/>
      <c r="F5" s="19"/>
      <c r="G5" s="19"/>
    </row>
    <row r="6" customFormat="false" ht="21.75" hidden="false" customHeight="true" outlineLevel="0" collapsed="false">
      <c r="B6" s="16"/>
      <c r="C6" s="16" t="s">
        <v>479</v>
      </c>
      <c r="D6" s="16" t="s">
        <v>480</v>
      </c>
      <c r="E6" s="16" t="s">
        <v>481</v>
      </c>
    </row>
    <row r="7" customFormat="false" ht="15" hidden="false" customHeight="true" outlineLevel="0" collapsed="false">
      <c r="B7" s="9" t="s">
        <v>482</v>
      </c>
      <c r="C7" s="24" t="n">
        <v>0.1</v>
      </c>
      <c r="D7" s="24" t="n">
        <v>0.12</v>
      </c>
    </row>
    <row r="8" customFormat="false" ht="15" hidden="false" customHeight="true" outlineLevel="0" collapsed="false">
      <c r="B8" s="9" t="s">
        <v>483</v>
      </c>
      <c r="C8" s="24" t="n">
        <v>0.12</v>
      </c>
      <c r="D8" s="24" t="n">
        <v>0.15</v>
      </c>
    </row>
    <row r="9" customFormat="false" ht="15" hidden="false" customHeight="true" outlineLevel="0" collapsed="false">
      <c r="B9" s="9" t="s">
        <v>366</v>
      </c>
      <c r="C9" s="24" t="n">
        <v>0.45</v>
      </c>
      <c r="D9" s="24" t="n">
        <v>0.55</v>
      </c>
    </row>
    <row r="10" customFormat="false" ht="15" hidden="false" customHeight="true" outlineLevel="0" collapsed="false">
      <c r="B10" s="9" t="s">
        <v>484</v>
      </c>
      <c r="C10" s="47" t="n">
        <v>0.6</v>
      </c>
    </row>
    <row r="11" customFormat="false" ht="15" hidden="false" customHeight="true" outlineLevel="0" collapsed="false">
      <c r="B11" s="9" t="s">
        <v>485</v>
      </c>
      <c r="C11" s="36" t="n">
        <f aca="false">C10*C8*D8</f>
        <v>0.0108</v>
      </c>
      <c r="E11" s="3" t="s">
        <v>486</v>
      </c>
      <c r="F11" s="3"/>
      <c r="G11" s="3"/>
    </row>
    <row r="12" customFormat="false" ht="7.5" hidden="false" customHeight="true" outlineLevel="0" collapsed="false"/>
    <row r="13" customFormat="false" ht="15" hidden="false" customHeight="true" outlineLevel="0" collapsed="false">
      <c r="B13" s="9" t="s">
        <v>487</v>
      </c>
      <c r="C13" s="24" t="n">
        <v>0.01</v>
      </c>
    </row>
    <row r="14" customFormat="false" ht="15" hidden="false" customHeight="true" outlineLevel="0" collapsed="false">
      <c r="B14" s="8" t="s">
        <v>488</v>
      </c>
      <c r="C14" s="40" t="n">
        <f aca="false">C9*C7+D9*D7</f>
        <v>0.111</v>
      </c>
      <c r="D14" s="69" t="n">
        <f aca="false">C9+D9</f>
        <v>1</v>
      </c>
      <c r="E14" s="67" t="str">
        <f aca="false">IF(ABS(D14-1)&lt;0.001,"✅ Weights=1","⚠️ Check weights")</f>
        <v>✅ Weights=1</v>
      </c>
    </row>
    <row r="15" customFormat="false" ht="15" hidden="false" customHeight="true" outlineLevel="0" collapsed="false">
      <c r="B15" s="8" t="s">
        <v>489</v>
      </c>
      <c r="C15" s="62" t="n">
        <f aca="false">C9^2*C8^2+D9^2*D8^2+2*C9*D9*C11</f>
        <v>0.01506825</v>
      </c>
    </row>
    <row r="16" customFormat="false" ht="15" hidden="false" customHeight="true" outlineLevel="0" collapsed="false">
      <c r="B16" s="8" t="s">
        <v>490</v>
      </c>
      <c r="C16" s="40" t="n">
        <f aca="false">SQRT(C15)</f>
        <v>0.122752800375389</v>
      </c>
    </row>
    <row r="17" customFormat="false" ht="15" hidden="false" customHeight="true" outlineLevel="0" collapsed="false">
      <c r="B17" s="8" t="s">
        <v>491</v>
      </c>
      <c r="C17" s="43" t="n">
        <f aca="false">(C14-C13)/C16</f>
        <v>0.822791819747764</v>
      </c>
    </row>
    <row r="18" customFormat="false" ht="7.5" hidden="false" customHeight="true" outlineLevel="0" collapsed="false"/>
    <row r="19" customFormat="false" ht="15" hidden="false" customHeight="true" outlineLevel="0" collapsed="false">
      <c r="B19" s="19" t="s">
        <v>492</v>
      </c>
      <c r="C19" s="19"/>
      <c r="D19" s="19"/>
      <c r="E19" s="19"/>
      <c r="F19" s="19"/>
      <c r="G19" s="19"/>
    </row>
    <row r="20" customFormat="false" ht="21.75" hidden="false" customHeight="true" outlineLevel="0" collapsed="false">
      <c r="B20" s="16"/>
      <c r="C20" s="16" t="s">
        <v>479</v>
      </c>
      <c r="D20" s="16" t="s">
        <v>480</v>
      </c>
      <c r="E20" s="16" t="s">
        <v>493</v>
      </c>
      <c r="F20" s="16" t="s">
        <v>481</v>
      </c>
    </row>
    <row r="21" customFormat="false" ht="15" hidden="false" customHeight="true" outlineLevel="0" collapsed="false">
      <c r="B21" s="9" t="s">
        <v>494</v>
      </c>
      <c r="C21" s="31" t="n">
        <v>0.0523</v>
      </c>
      <c r="D21" s="31" t="n">
        <v>0.0626</v>
      </c>
      <c r="E21" s="31" t="n">
        <v>0.0619</v>
      </c>
    </row>
    <row r="22" customFormat="false" ht="15" hidden="false" customHeight="true" outlineLevel="0" collapsed="false">
      <c r="B22" s="9" t="s">
        <v>495</v>
      </c>
      <c r="C22" s="31" t="n">
        <v>0.1777</v>
      </c>
      <c r="D22" s="31" t="n">
        <v>0.2116</v>
      </c>
      <c r="E22" s="31" t="n">
        <v>0.2878</v>
      </c>
    </row>
    <row r="23" customFormat="false" ht="15" hidden="false" customHeight="true" outlineLevel="0" collapsed="false">
      <c r="B23" s="9" t="s">
        <v>496</v>
      </c>
      <c r="C23" s="24" t="n">
        <v>0.33</v>
      </c>
      <c r="D23" s="24" t="n">
        <v>0.34</v>
      </c>
      <c r="E23" s="24" t="n">
        <v>0.33</v>
      </c>
    </row>
    <row r="24" customFormat="false" ht="15" hidden="false" customHeight="true" outlineLevel="0" collapsed="false">
      <c r="B24" s="9" t="s">
        <v>497</v>
      </c>
      <c r="C24" s="47" t="n">
        <v>0.754</v>
      </c>
    </row>
    <row r="25" customFormat="false" ht="15" hidden="false" customHeight="true" outlineLevel="0" collapsed="false">
      <c r="B25" s="9" t="s">
        <v>498</v>
      </c>
      <c r="C25" s="47" t="n">
        <v>0.46</v>
      </c>
    </row>
    <row r="26" customFormat="false" ht="15" hidden="false" customHeight="true" outlineLevel="0" collapsed="false">
      <c r="B26" s="9" t="s">
        <v>499</v>
      </c>
      <c r="C26" s="47" t="n">
        <v>0.579</v>
      </c>
    </row>
    <row r="27" customFormat="false" ht="15" hidden="false" customHeight="true" outlineLevel="0" collapsed="false">
      <c r="B27" s="9" t="s">
        <v>500</v>
      </c>
      <c r="C27" s="36" t="n">
        <f aca="false">C24*C22*D22</f>
        <v>0.02835139528</v>
      </c>
    </row>
    <row r="28" customFormat="false" ht="15" hidden="false" customHeight="true" outlineLevel="0" collapsed="false">
      <c r="B28" s="9" t="s">
        <v>501</v>
      </c>
      <c r="C28" s="36" t="n">
        <f aca="false">C25*C22*E22</f>
        <v>0.0235253476</v>
      </c>
    </row>
    <row r="29" customFormat="false" ht="15" hidden="false" customHeight="true" outlineLevel="0" collapsed="false">
      <c r="B29" s="9" t="s">
        <v>502</v>
      </c>
      <c r="C29" s="36" t="n">
        <f aca="false">C26*D22*E22</f>
        <v>0.03526021992</v>
      </c>
    </row>
    <row r="30" customFormat="false" ht="15" hidden="false" customHeight="true" outlineLevel="0" collapsed="false">
      <c r="B30" s="9" t="s">
        <v>487</v>
      </c>
      <c r="C30" s="31" t="n">
        <v>0.0001</v>
      </c>
    </row>
    <row r="31" customFormat="false" ht="7.5" hidden="false" customHeight="true" outlineLevel="0" collapsed="false"/>
    <row r="32" customFormat="false" ht="15" hidden="false" customHeight="true" outlineLevel="0" collapsed="false">
      <c r="B32" s="8" t="s">
        <v>488</v>
      </c>
      <c r="C32" s="40" t="n">
        <f aca="false">C23*C21+D23*D21+E23*E21</f>
        <v>0.05897</v>
      </c>
      <c r="D32" s="69" t="n">
        <f aca="false">C23+D23+E23</f>
        <v>1</v>
      </c>
      <c r="E32" s="67" t="str">
        <f aca="false">IF(ABS(D32-1)&lt;0.001,"✅ Weights=1","⚠️ Check weights")</f>
        <v>✅ Weights=1</v>
      </c>
    </row>
    <row r="33" customFormat="false" ht="15" hidden="false" customHeight="true" outlineLevel="0" collapsed="false">
      <c r="B33" s="8" t="s">
        <v>489</v>
      </c>
      <c r="C33" s="62" t="n">
        <f aca="false">C23^2*C22^2+D23^2*D22^2+E23^2*E22^2+2*C23*D23*C27+2*C23*E23*C28+2*D23*E23*C29</f>
        <v>0.03703303385116</v>
      </c>
    </row>
    <row r="34" customFormat="false" ht="15" hidden="false" customHeight="true" outlineLevel="0" collapsed="false">
      <c r="B34" s="8" t="s">
        <v>490</v>
      </c>
      <c r="C34" s="40" t="n">
        <f aca="false">SQRT(C33)</f>
        <v>0.192439688866824</v>
      </c>
    </row>
    <row r="35" customFormat="false" ht="15" hidden="false" customHeight="true" outlineLevel="0" collapsed="false">
      <c r="B35" s="8" t="s">
        <v>491</v>
      </c>
      <c r="C35" s="43" t="n">
        <f aca="false">(C32-C30)/C34</f>
        <v>0.305914026086066</v>
      </c>
    </row>
  </sheetData>
  <mergeCells count="5">
    <mergeCell ref="B2:G2"/>
    <mergeCell ref="B3:G3"/>
    <mergeCell ref="B5:G5"/>
    <mergeCell ref="E11:G11"/>
    <mergeCell ref="B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5" min="3" style="1" width="16"/>
    <col collapsed="false" customWidth="true" hidden="false" outlineLevel="0" max="6" min="6" style="1" width="32"/>
  </cols>
  <sheetData>
    <row r="2" customFormat="false" ht="27.75" hidden="false" customHeight="true" outlineLevel="0" collapsed="false">
      <c r="B2" s="22" t="s">
        <v>503</v>
      </c>
      <c r="C2" s="22"/>
      <c r="D2" s="22"/>
      <c r="E2" s="22"/>
      <c r="F2" s="22"/>
    </row>
    <row r="3" customFormat="false" ht="39.75" hidden="false" customHeight="true" outlineLevel="0" collapsed="false">
      <c r="B3" s="3" t="s">
        <v>504</v>
      </c>
      <c r="C3" s="3"/>
      <c r="D3" s="3"/>
      <c r="E3" s="3"/>
      <c r="F3" s="3"/>
    </row>
    <row r="4" customFormat="false" ht="7.5" hidden="false" customHeight="true" outlineLevel="0" collapsed="false"/>
    <row r="5" customFormat="false" ht="15" hidden="false" customHeight="true" outlineLevel="0" collapsed="false">
      <c r="B5" s="19" t="s">
        <v>505</v>
      </c>
      <c r="C5" s="19"/>
      <c r="D5" s="19"/>
      <c r="E5" s="19"/>
      <c r="F5" s="19"/>
    </row>
    <row r="6" customFormat="false" ht="21.75" hidden="false" customHeight="true" outlineLevel="0" collapsed="false">
      <c r="B6" s="16" t="s">
        <v>506</v>
      </c>
      <c r="C6" s="16" t="s">
        <v>479</v>
      </c>
      <c r="D6" s="16" t="s">
        <v>480</v>
      </c>
    </row>
    <row r="7" customFormat="false" ht="15" hidden="false" customHeight="true" outlineLevel="0" collapsed="false">
      <c r="B7" s="9" t="s">
        <v>494</v>
      </c>
      <c r="C7" s="31" t="n">
        <v>0.0523</v>
      </c>
      <c r="D7" s="31" t="n">
        <v>0.0626</v>
      </c>
    </row>
    <row r="8" customFormat="false" ht="15" hidden="false" customHeight="true" outlineLevel="0" collapsed="false">
      <c r="B8" s="9" t="s">
        <v>483</v>
      </c>
      <c r="C8" s="31" t="n">
        <v>0.1777</v>
      </c>
      <c r="D8" s="31" t="n">
        <v>0.2116</v>
      </c>
    </row>
    <row r="9" customFormat="false" ht="15" hidden="false" customHeight="true" outlineLevel="0" collapsed="false">
      <c r="B9" s="9" t="s">
        <v>484</v>
      </c>
      <c r="C9" s="47" t="n">
        <v>0.754</v>
      </c>
    </row>
    <row r="10" customFormat="false" ht="15" hidden="false" customHeight="true" outlineLevel="0" collapsed="false">
      <c r="B10" s="9" t="s">
        <v>487</v>
      </c>
      <c r="C10" s="31" t="n">
        <v>0.0001</v>
      </c>
    </row>
    <row r="11" customFormat="false" ht="15" hidden="false" customHeight="true" outlineLevel="0" collapsed="false">
      <c r="B11" s="9" t="s">
        <v>507</v>
      </c>
      <c r="C11" s="36" t="n">
        <f aca="false">C9*C8*D8</f>
        <v>0.02835139528</v>
      </c>
    </row>
    <row r="12" customFormat="false" ht="15" hidden="false" customHeight="true" outlineLevel="0" collapsed="false">
      <c r="B12" s="9" t="s">
        <v>508</v>
      </c>
      <c r="C12" s="44" t="n">
        <f aca="false">C7-C10</f>
        <v>0.0522</v>
      </c>
    </row>
    <row r="13" customFormat="false" ht="15" hidden="false" customHeight="true" outlineLevel="0" collapsed="false">
      <c r="B13" s="9" t="s">
        <v>509</v>
      </c>
      <c r="C13" s="44" t="n">
        <f aca="false">D7-C10</f>
        <v>0.0625</v>
      </c>
    </row>
    <row r="14" customFormat="false" ht="7.5" hidden="false" customHeight="true" outlineLevel="0" collapsed="false"/>
    <row r="15" customFormat="false" ht="15" hidden="false" customHeight="true" outlineLevel="0" collapsed="false">
      <c r="B15" s="8" t="s">
        <v>510</v>
      </c>
      <c r="C15" s="40" t="n">
        <f aca="false">(C12*D8^2-C13*C11)/(C12*D8^2+C13*C8^2-(C12+C13)*C11)</f>
        <v>0.533823552863525</v>
      </c>
      <c r="D15" s="3" t="s">
        <v>511</v>
      </c>
      <c r="E15" s="3"/>
      <c r="F15" s="3"/>
    </row>
    <row r="16" customFormat="false" ht="15" hidden="false" customHeight="true" outlineLevel="0" collapsed="false">
      <c r="B16" s="8" t="s">
        <v>512</v>
      </c>
      <c r="C16" s="40" t="n">
        <f aca="false">1-C15</f>
        <v>0.466176447136476</v>
      </c>
    </row>
    <row r="17" customFormat="false" ht="7.5" hidden="false" customHeight="true" outlineLevel="0" collapsed="false"/>
    <row r="18" customFormat="false" ht="15" hidden="false" customHeight="true" outlineLevel="0" collapsed="false">
      <c r="B18" s="70" t="s">
        <v>513</v>
      </c>
      <c r="C18" s="70"/>
      <c r="D18" s="70"/>
      <c r="E18" s="70"/>
      <c r="F18" s="70"/>
    </row>
    <row r="19" customFormat="false" ht="15" hidden="false" customHeight="true" outlineLevel="0" collapsed="false">
      <c r="B19" s="8" t="s">
        <v>514</v>
      </c>
      <c r="C19" s="40" t="n">
        <f aca="false">C15*C7+C16*D7</f>
        <v>0.0571016174055057</v>
      </c>
    </row>
    <row r="20" customFormat="false" ht="15" hidden="false" customHeight="true" outlineLevel="0" collapsed="false">
      <c r="B20" s="8" t="s">
        <v>515</v>
      </c>
      <c r="C20" s="62" t="n">
        <f aca="false">C15^2*C8^2+C16^2*D8^2+2*C15*C16*C11</f>
        <v>0.0328397607475807</v>
      </c>
    </row>
    <row r="21" customFormat="false" ht="15" hidden="false" customHeight="true" outlineLevel="0" collapsed="false">
      <c r="B21" s="8" t="s">
        <v>516</v>
      </c>
      <c r="C21" s="40" t="n">
        <f aca="false">SQRT(C20)</f>
        <v>0.181217440517133</v>
      </c>
    </row>
    <row r="22" customFormat="false" ht="15" hidden="false" customHeight="true" outlineLevel="0" collapsed="false">
      <c r="B22" s="8" t="s">
        <v>517</v>
      </c>
      <c r="C22" s="43" t="n">
        <f aca="false">(C19-C10)/C21</f>
        <v>0.31454818721003</v>
      </c>
    </row>
    <row r="23" customFormat="false" ht="7.5" hidden="false" customHeight="true" outlineLevel="0" collapsed="false"/>
    <row r="24" customFormat="false" ht="15" hidden="false" customHeight="true" outlineLevel="0" collapsed="false">
      <c r="B24" s="19" t="s">
        <v>518</v>
      </c>
      <c r="C24" s="19"/>
      <c r="D24" s="19"/>
      <c r="E24" s="19"/>
      <c r="F24" s="19"/>
    </row>
    <row r="25" customFormat="false" ht="30" hidden="false" customHeight="true" outlineLevel="0" collapsed="false">
      <c r="B25" s="3" t="s">
        <v>519</v>
      </c>
      <c r="C25" s="3"/>
      <c r="D25" s="3"/>
      <c r="E25" s="3"/>
      <c r="F25" s="3"/>
    </row>
    <row r="26" customFormat="false" ht="15" hidden="false" customHeight="true" outlineLevel="0" collapsed="false">
      <c r="B26" s="9" t="s">
        <v>520</v>
      </c>
      <c r="C26" s="25" t="n">
        <v>3</v>
      </c>
    </row>
    <row r="27" customFormat="false" ht="15" hidden="false" customHeight="true" outlineLevel="0" collapsed="false">
      <c r="B27" s="8" t="s">
        <v>521</v>
      </c>
      <c r="C27" s="40" t="n">
        <f aca="false">C22/(C26*C20)</f>
        <v>3.19275760084217</v>
      </c>
      <c r="D27" s="3" t="s">
        <v>522</v>
      </c>
      <c r="E27" s="3"/>
      <c r="F27" s="3"/>
    </row>
    <row r="28" customFormat="false" ht="15" hidden="false" customHeight="true" outlineLevel="0" collapsed="false">
      <c r="B28" s="9" t="s">
        <v>523</v>
      </c>
      <c r="C28" s="44" t="n">
        <f aca="false">1-C27</f>
        <v>-2.19275760084217</v>
      </c>
    </row>
    <row r="29" customFormat="false" ht="15" hidden="false" customHeight="true" outlineLevel="0" collapsed="false">
      <c r="B29" s="9" t="s">
        <v>524</v>
      </c>
      <c r="C29" s="44" t="n">
        <f aca="false">C27*C19+C28*C10</f>
        <v>0.182092347231726</v>
      </c>
    </row>
    <row r="30" customFormat="false" ht="15" hidden="false" customHeight="true" outlineLevel="0" collapsed="false">
      <c r="B30" s="9" t="s">
        <v>525</v>
      </c>
      <c r="C30" s="44" t="n">
        <f aca="false">C27*C21</f>
        <v>0.578583360616241</v>
      </c>
    </row>
    <row r="31" customFormat="false" ht="15" hidden="false" customHeight="true" outlineLevel="0" collapsed="false">
      <c r="B31" s="9" t="s">
        <v>526</v>
      </c>
      <c r="C31" s="53" t="n">
        <f aca="false">C29-C26/2*C30^2</f>
        <v>-0.320045710541249</v>
      </c>
    </row>
    <row r="32" customFormat="false" ht="15" hidden="false" customHeight="true" outlineLevel="0" collapsed="false">
      <c r="B32" s="9" t="s">
        <v>527</v>
      </c>
      <c r="C32" s="44" t="n">
        <f aca="false">C27*C15</f>
        <v>1.70436920591359</v>
      </c>
    </row>
    <row r="33" customFormat="false" ht="15" hidden="false" customHeight="true" outlineLevel="0" collapsed="false">
      <c r="B33" s="9" t="s">
        <v>528</v>
      </c>
      <c r="C33" s="44" t="n">
        <f aca="false">C27*C16</f>
        <v>1.48838839492858</v>
      </c>
    </row>
    <row r="34" customFormat="false" ht="7.5" hidden="false" customHeight="true" outlineLevel="0" collapsed="false"/>
    <row r="35" customFormat="false" ht="15" hidden="false" customHeight="true" outlineLevel="0" collapsed="false">
      <c r="B35" s="19" t="s">
        <v>529</v>
      </c>
      <c r="C35" s="19"/>
      <c r="D35" s="19"/>
      <c r="E35" s="19"/>
      <c r="F35" s="19"/>
    </row>
    <row r="36" customFormat="false" ht="30" hidden="false" customHeight="true" outlineLevel="0" collapsed="false">
      <c r="B36" s="3" t="s">
        <v>530</v>
      </c>
      <c r="C36" s="3"/>
      <c r="D36" s="3"/>
      <c r="E36" s="3"/>
      <c r="F36" s="3"/>
    </row>
    <row r="37" customFormat="false" ht="15" hidden="false" customHeight="true" outlineLevel="0" collapsed="false">
      <c r="B37" s="9" t="s">
        <v>487</v>
      </c>
      <c r="C37" s="24" t="n">
        <v>0.01</v>
      </c>
      <c r="D37" s="3" t="s">
        <v>531</v>
      </c>
      <c r="E37" s="3"/>
      <c r="F37" s="3"/>
    </row>
    <row r="38" customFormat="false" ht="15" hidden="false" customHeight="true" outlineLevel="0" collapsed="false">
      <c r="B38" s="9" t="s">
        <v>532</v>
      </c>
      <c r="C38" s="24" t="n">
        <v>0.07</v>
      </c>
    </row>
    <row r="39" customFormat="false" ht="15" hidden="false" customHeight="true" outlineLevel="0" collapsed="false">
      <c r="B39" s="9" t="s">
        <v>533</v>
      </c>
      <c r="C39" s="24" t="n">
        <v>0.2</v>
      </c>
    </row>
    <row r="40" customFormat="false" ht="15" hidden="false" customHeight="true" outlineLevel="0" collapsed="false">
      <c r="B40" s="9" t="s">
        <v>534</v>
      </c>
      <c r="C40" s="47" t="n">
        <v>1.2</v>
      </c>
    </row>
    <row r="41" customFormat="false" ht="15" hidden="false" customHeight="true" outlineLevel="0" collapsed="false">
      <c r="B41" s="8" t="s">
        <v>535</v>
      </c>
      <c r="C41" s="40" t="n">
        <f aca="false">C37+C40*(C38-C37)</f>
        <v>0.082</v>
      </c>
      <c r="D41" s="3" t="s">
        <v>536</v>
      </c>
      <c r="E41" s="3"/>
      <c r="F41" s="3"/>
    </row>
    <row r="42" customFormat="false" ht="15" hidden="false" customHeight="true" outlineLevel="0" collapsed="false">
      <c r="B42" s="9" t="s">
        <v>537</v>
      </c>
      <c r="C42" s="44" t="n">
        <f aca="false">C38-C37</f>
        <v>0.06</v>
      </c>
    </row>
    <row r="43" customFormat="false" ht="15" hidden="false" customHeight="true" outlineLevel="0" collapsed="false">
      <c r="B43" s="9" t="s">
        <v>538</v>
      </c>
      <c r="C43" s="9" t="s">
        <v>539</v>
      </c>
      <c r="D43" s="47" t="n">
        <v>0.6</v>
      </c>
      <c r="E43" s="9" t="s">
        <v>540</v>
      </c>
    </row>
    <row r="44" customFormat="false" ht="15" hidden="false" customHeight="true" outlineLevel="0" collapsed="false">
      <c r="B44" s="9" t="s">
        <v>541</v>
      </c>
      <c r="C44" s="47" t="n">
        <v>0.6</v>
      </c>
      <c r="D44" s="24" t="n">
        <v>0.25</v>
      </c>
      <c r="E44" s="71" t="s">
        <v>542</v>
      </c>
      <c r="F44" s="71"/>
    </row>
    <row r="45" customFormat="false" ht="7.5" hidden="false" customHeight="true" outlineLevel="0" collapsed="false"/>
    <row r="46" customFormat="false" ht="15" hidden="false" customHeight="true" outlineLevel="0" collapsed="false">
      <c r="B46" s="19" t="s">
        <v>543</v>
      </c>
      <c r="C46" s="19"/>
      <c r="D46" s="19"/>
      <c r="E46" s="19"/>
      <c r="F46" s="19"/>
    </row>
    <row r="47" customFormat="false" ht="15" hidden="false" customHeight="true" outlineLevel="0" collapsed="false">
      <c r="B47" s="9" t="s">
        <v>428</v>
      </c>
      <c r="C47" s="23" t="n">
        <v>74.83</v>
      </c>
    </row>
    <row r="48" customFormat="false" ht="15" hidden="false" customHeight="true" outlineLevel="0" collapsed="false">
      <c r="B48" s="9" t="s">
        <v>544</v>
      </c>
      <c r="C48" s="24" t="n">
        <v>0.08</v>
      </c>
    </row>
    <row r="49" customFormat="false" ht="15" hidden="false" customHeight="true" outlineLevel="0" collapsed="false">
      <c r="B49" s="9" t="s">
        <v>545</v>
      </c>
      <c r="C49" s="24" t="n">
        <v>0.06</v>
      </c>
    </row>
    <row r="50" customFormat="false" ht="15" hidden="false" customHeight="true" outlineLevel="0" collapsed="false">
      <c r="B50" s="9" t="s">
        <v>546</v>
      </c>
      <c r="C50" s="51" t="n">
        <f aca="false">C47*(1+C49)</f>
        <v>79.3198</v>
      </c>
    </row>
    <row r="51" customFormat="false" ht="15" hidden="false" customHeight="true" outlineLevel="0" collapsed="false">
      <c r="B51" s="8" t="s">
        <v>431</v>
      </c>
      <c r="C51" s="46" t="n">
        <f aca="false">IFERROR(C50/(C48-C49),"ERROR: k≤g")</f>
        <v>3965.99</v>
      </c>
    </row>
    <row r="52" customFormat="false" ht="20.25" hidden="false" customHeight="true" outlineLevel="0" collapsed="false">
      <c r="B52" s="9" t="s">
        <v>547</v>
      </c>
      <c r="C52" s="45" t="n">
        <v>6013</v>
      </c>
      <c r="D52" s="9" t="s">
        <v>548</v>
      </c>
      <c r="E52" s="40" t="n">
        <f aca="false">C48-C50/C52</f>
        <v>0.0668086146682189</v>
      </c>
    </row>
    <row r="53" customFormat="false" ht="15" hidden="false" customHeight="true" outlineLevel="0" collapsed="false">
      <c r="B53" s="3" t="s">
        <v>549</v>
      </c>
      <c r="C53" s="3"/>
      <c r="D53" s="3"/>
      <c r="E53" s="3"/>
      <c r="F53" s="3"/>
    </row>
  </sheetData>
  <mergeCells count="15">
    <mergeCell ref="B2:F2"/>
    <mergeCell ref="B3:F3"/>
    <mergeCell ref="B5:F5"/>
    <mergeCell ref="D15:F15"/>
    <mergeCell ref="B18:F18"/>
    <mergeCell ref="B24:F24"/>
    <mergeCell ref="B25:F25"/>
    <mergeCell ref="D27:F27"/>
    <mergeCell ref="B35:F35"/>
    <mergeCell ref="B36:F36"/>
    <mergeCell ref="D37:F37"/>
    <mergeCell ref="D41:F41"/>
    <mergeCell ref="E44:F44"/>
    <mergeCell ref="B46:F46"/>
    <mergeCell ref="B53:F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40"/>
    <col collapsed="false" customWidth="true" hidden="false" outlineLevel="0" max="4" min="4" style="1" width="36"/>
    <col collapsed="false" customWidth="true" hidden="false" outlineLevel="0" max="5" min="5" style="1" width="4"/>
  </cols>
  <sheetData>
    <row r="2" customFormat="false" ht="31.5" hidden="false" customHeight="true" outlineLevel="0" collapsed="false">
      <c r="B2" s="15" t="s">
        <v>550</v>
      </c>
      <c r="C2" s="15"/>
      <c r="D2" s="15"/>
    </row>
    <row r="4" customFormat="false" ht="21.75" hidden="false" customHeight="true" outlineLevel="0" collapsed="false">
      <c r="B4" s="19" t="s">
        <v>551</v>
      </c>
      <c r="C4" s="19"/>
      <c r="D4" s="19"/>
    </row>
    <row r="5" customFormat="false" ht="15" hidden="false" customHeight="true" outlineLevel="0" collapsed="false">
      <c r="B5" s="8" t="s">
        <v>552</v>
      </c>
      <c r="C5" s="9" t="s">
        <v>553</v>
      </c>
    </row>
    <row r="6" customFormat="false" ht="20.25" hidden="false" customHeight="true" outlineLevel="0" collapsed="false">
      <c r="B6" s="6" t="s">
        <v>554</v>
      </c>
      <c r="C6" s="7" t="s">
        <v>555</v>
      </c>
    </row>
    <row r="7" customFormat="false" ht="15" hidden="false" customHeight="true" outlineLevel="0" collapsed="false">
      <c r="B7" s="8" t="s">
        <v>556</v>
      </c>
      <c r="C7" s="9" t="s">
        <v>557</v>
      </c>
    </row>
    <row r="8" customFormat="false" ht="20.25" hidden="false" customHeight="true" outlineLevel="0" collapsed="false">
      <c r="B8" s="6" t="s">
        <v>558</v>
      </c>
      <c r="C8" s="7" t="s">
        <v>559</v>
      </c>
    </row>
    <row r="9" customFormat="false" ht="20.25" hidden="false" customHeight="true" outlineLevel="0" collapsed="false">
      <c r="B9" s="8" t="s">
        <v>560</v>
      </c>
      <c r="C9" s="9" t="s">
        <v>561</v>
      </c>
    </row>
    <row r="10" customFormat="false" ht="15" hidden="false" customHeight="true" outlineLevel="0" collapsed="false">
      <c r="B10" s="6" t="s">
        <v>562</v>
      </c>
      <c r="C10" s="7" t="s">
        <v>563</v>
      </c>
    </row>
    <row r="11" customFormat="false" ht="20.25" hidden="false" customHeight="true" outlineLevel="0" collapsed="false">
      <c r="B11" s="8" t="s">
        <v>564</v>
      </c>
      <c r="C11" s="9" t="s">
        <v>565</v>
      </c>
    </row>
    <row r="13" customFormat="false" ht="21.75" hidden="false" customHeight="true" outlineLevel="0" collapsed="false">
      <c r="B13" s="19" t="s">
        <v>566</v>
      </c>
      <c r="C13" s="19"/>
      <c r="D13" s="19"/>
    </row>
    <row r="14" customFormat="false" ht="15" hidden="false" customHeight="true" outlineLevel="0" collapsed="false">
      <c r="B14" s="6" t="s">
        <v>567</v>
      </c>
      <c r="C14" s="7" t="s">
        <v>568</v>
      </c>
    </row>
    <row r="15" customFormat="false" ht="15" hidden="false" customHeight="true" outlineLevel="0" collapsed="false">
      <c r="B15" s="8" t="s">
        <v>569</v>
      </c>
      <c r="C15" s="9" t="s">
        <v>570</v>
      </c>
    </row>
    <row r="16" customFormat="false" ht="15" hidden="false" customHeight="true" outlineLevel="0" collapsed="false">
      <c r="B16" s="6" t="s">
        <v>87</v>
      </c>
      <c r="C16" s="7" t="s">
        <v>571</v>
      </c>
    </row>
    <row r="17" customFormat="false" ht="15" hidden="false" customHeight="true" outlineLevel="0" collapsed="false">
      <c r="B17" s="8" t="s">
        <v>572</v>
      </c>
      <c r="C17" s="9" t="s">
        <v>573</v>
      </c>
    </row>
    <row r="19" customFormat="false" ht="21.75" hidden="false" customHeight="true" outlineLevel="0" collapsed="false">
      <c r="B19" s="19" t="s">
        <v>574</v>
      </c>
      <c r="C19" s="19"/>
      <c r="D19" s="19"/>
    </row>
    <row r="20" customFormat="false" ht="15" hidden="false" customHeight="true" outlineLevel="0" collapsed="false">
      <c r="B20" s="6" t="s">
        <v>575</v>
      </c>
      <c r="C20" s="7" t="s">
        <v>576</v>
      </c>
    </row>
    <row r="21" customFormat="false" ht="20.25" hidden="false" customHeight="true" outlineLevel="0" collapsed="false">
      <c r="B21" s="8" t="s">
        <v>577</v>
      </c>
      <c r="C21" s="9" t="s">
        <v>578</v>
      </c>
    </row>
    <row r="22" customFormat="false" ht="15" hidden="false" customHeight="true" outlineLevel="0" collapsed="false">
      <c r="B22" s="6" t="s">
        <v>579</v>
      </c>
      <c r="C22" s="7" t="s">
        <v>580</v>
      </c>
    </row>
    <row r="23" customFormat="false" ht="15" hidden="false" customHeight="true" outlineLevel="0" collapsed="false">
      <c r="B23" s="8" t="s">
        <v>581</v>
      </c>
      <c r="C23" s="9" t="s">
        <v>582</v>
      </c>
    </row>
    <row r="24" customFormat="false" ht="20.25" hidden="false" customHeight="true" outlineLevel="0" collapsed="false">
      <c r="B24" s="6" t="s">
        <v>583</v>
      </c>
      <c r="C24" s="7" t="s">
        <v>584</v>
      </c>
    </row>
    <row r="25" customFormat="false" ht="20.25" hidden="false" customHeight="true" outlineLevel="0" collapsed="false">
      <c r="B25" s="8" t="s">
        <v>585</v>
      </c>
      <c r="C25" s="9" t="s">
        <v>586</v>
      </c>
    </row>
    <row r="27" customFormat="false" ht="21.75" hidden="false" customHeight="true" outlineLevel="0" collapsed="false">
      <c r="B27" s="19" t="s">
        <v>587</v>
      </c>
      <c r="C27" s="19"/>
      <c r="D27" s="19"/>
    </row>
    <row r="28" customFormat="false" ht="15" hidden="false" customHeight="true" outlineLevel="0" collapsed="false">
      <c r="B28" s="6" t="s">
        <v>588</v>
      </c>
      <c r="C28" s="7" t="s">
        <v>589</v>
      </c>
    </row>
    <row r="29" customFormat="false" ht="20.25" hidden="false" customHeight="true" outlineLevel="0" collapsed="false">
      <c r="B29" s="8" t="s">
        <v>590</v>
      </c>
      <c r="C29" s="9" t="s">
        <v>591</v>
      </c>
    </row>
    <row r="30" customFormat="false" ht="15" hidden="false" customHeight="true" outlineLevel="0" collapsed="false">
      <c r="B30" s="6" t="s">
        <v>592</v>
      </c>
      <c r="C30" s="7" t="s">
        <v>593</v>
      </c>
    </row>
    <row r="31" customFormat="false" ht="20.25" hidden="false" customHeight="true" outlineLevel="0" collapsed="false">
      <c r="B31" s="8" t="s">
        <v>594</v>
      </c>
      <c r="C31" s="9" t="s">
        <v>595</v>
      </c>
    </row>
    <row r="33" customFormat="false" ht="21.75" hidden="false" customHeight="true" outlineLevel="0" collapsed="false">
      <c r="B33" s="19" t="s">
        <v>596</v>
      </c>
      <c r="C33" s="19"/>
      <c r="D33" s="19"/>
    </row>
    <row r="34" customFormat="false" ht="15" hidden="false" customHeight="true" outlineLevel="0" collapsed="false">
      <c r="B34" s="6" t="s">
        <v>597</v>
      </c>
      <c r="C34" s="7" t="s">
        <v>598</v>
      </c>
    </row>
    <row r="35" customFormat="false" ht="15" hidden="false" customHeight="true" outlineLevel="0" collapsed="false">
      <c r="B35" s="8" t="s">
        <v>599</v>
      </c>
      <c r="C35" s="9" t="s">
        <v>600</v>
      </c>
    </row>
    <row r="36" customFormat="false" ht="20.25" hidden="false" customHeight="true" outlineLevel="0" collapsed="false">
      <c r="B36" s="6" t="s">
        <v>601</v>
      </c>
      <c r="C36" s="7" t="s">
        <v>602</v>
      </c>
    </row>
    <row r="37" customFormat="false" ht="15" hidden="false" customHeight="true" outlineLevel="0" collapsed="false">
      <c r="B37" s="8" t="s">
        <v>603</v>
      </c>
      <c r="C37" s="9" t="s">
        <v>604</v>
      </c>
    </row>
    <row r="39" customFormat="false" ht="21.75" hidden="false" customHeight="true" outlineLevel="0" collapsed="false">
      <c r="B39" s="19" t="s">
        <v>605</v>
      </c>
      <c r="C39" s="19"/>
      <c r="D39" s="19"/>
    </row>
    <row r="40" customFormat="false" ht="15" hidden="false" customHeight="true" outlineLevel="0" collapsed="false">
      <c r="B40" s="6" t="s">
        <v>606</v>
      </c>
      <c r="C40" s="7" t="s">
        <v>607</v>
      </c>
    </row>
    <row r="41" customFormat="false" ht="15" hidden="false" customHeight="true" outlineLevel="0" collapsed="false">
      <c r="B41" s="8" t="s">
        <v>608</v>
      </c>
      <c r="C41" s="9" t="s">
        <v>609</v>
      </c>
    </row>
    <row r="42" customFormat="false" ht="15" hidden="false" customHeight="true" outlineLevel="0" collapsed="false">
      <c r="B42" s="6" t="s">
        <v>610</v>
      </c>
      <c r="C42" s="7" t="s">
        <v>611</v>
      </c>
    </row>
    <row r="43" customFormat="false" ht="15" hidden="false" customHeight="true" outlineLevel="0" collapsed="false">
      <c r="B43" s="8" t="s">
        <v>612</v>
      </c>
      <c r="C43" s="9" t="s">
        <v>613</v>
      </c>
    </row>
    <row r="44" customFormat="false" ht="15" hidden="false" customHeight="true" outlineLevel="0" collapsed="false">
      <c r="B44" s="6" t="s">
        <v>614</v>
      </c>
      <c r="C44" s="7" t="s">
        <v>615</v>
      </c>
    </row>
    <row r="46" customFormat="false" ht="21.75" hidden="false" customHeight="true" outlineLevel="0" collapsed="false">
      <c r="B46" s="19" t="s">
        <v>616</v>
      </c>
      <c r="C46" s="19"/>
      <c r="D46" s="19"/>
    </row>
    <row r="47" customFormat="false" ht="20.25" hidden="false" customHeight="true" outlineLevel="0" collapsed="false">
      <c r="B47" s="8" t="s">
        <v>617</v>
      </c>
      <c r="C47" s="9" t="s">
        <v>618</v>
      </c>
    </row>
    <row r="48" customFormat="false" ht="15" hidden="false" customHeight="true" outlineLevel="0" collapsed="false">
      <c r="B48" s="6" t="s">
        <v>619</v>
      </c>
      <c r="C48" s="7" t="s">
        <v>620</v>
      </c>
    </row>
    <row r="49" customFormat="false" ht="15" hidden="false" customHeight="true" outlineLevel="0" collapsed="false">
      <c r="B49" s="8" t="s">
        <v>621</v>
      </c>
      <c r="C49" s="9" t="s">
        <v>622</v>
      </c>
    </row>
    <row r="50" customFormat="false" ht="15" hidden="false" customHeight="true" outlineLevel="0" collapsed="false">
      <c r="B50" s="6" t="s">
        <v>623</v>
      </c>
      <c r="C50" s="7" t="s">
        <v>624</v>
      </c>
    </row>
    <row r="52" customFormat="false" ht="21.75" hidden="false" customHeight="true" outlineLevel="0" collapsed="false">
      <c r="B52" s="19" t="s">
        <v>625</v>
      </c>
      <c r="C52" s="19"/>
      <c r="D52" s="19"/>
    </row>
    <row r="53" customFormat="false" ht="15" hidden="false" customHeight="true" outlineLevel="0" collapsed="false">
      <c r="B53" s="8" t="s">
        <v>626</v>
      </c>
      <c r="C53" s="9" t="s">
        <v>627</v>
      </c>
    </row>
    <row r="54" customFormat="false" ht="15" hidden="false" customHeight="true" outlineLevel="0" collapsed="false">
      <c r="B54" s="6" t="s">
        <v>628</v>
      </c>
      <c r="C54" s="7" t="s">
        <v>629</v>
      </c>
    </row>
    <row r="55" customFormat="false" ht="15" hidden="false" customHeight="true" outlineLevel="0" collapsed="false">
      <c r="B55" s="8" t="s">
        <v>630</v>
      </c>
      <c r="C55" s="9" t="s">
        <v>631</v>
      </c>
    </row>
    <row r="56" customFormat="false" ht="15" hidden="false" customHeight="true" outlineLevel="0" collapsed="false">
      <c r="B56" s="6" t="s">
        <v>632</v>
      </c>
      <c r="C56" s="7" t="s">
        <v>633</v>
      </c>
    </row>
    <row r="57" customFormat="false" ht="15" hidden="false" customHeight="true" outlineLevel="0" collapsed="false">
      <c r="B57" s="8" t="s">
        <v>634</v>
      </c>
      <c r="C57" s="9" t="s">
        <v>635</v>
      </c>
    </row>
    <row r="58" customFormat="false" ht="15" hidden="false" customHeight="true" outlineLevel="0" collapsed="false">
      <c r="B58" s="6" t="s">
        <v>636</v>
      </c>
      <c r="C58" s="7" t="s">
        <v>637</v>
      </c>
    </row>
  </sheetData>
  <mergeCells count="9">
    <mergeCell ref="B2:D2"/>
    <mergeCell ref="B4:D4"/>
    <mergeCell ref="B13:D13"/>
    <mergeCell ref="B19:D19"/>
    <mergeCell ref="B27:D27"/>
    <mergeCell ref="B33:D33"/>
    <mergeCell ref="B39:D39"/>
    <mergeCell ref="B46:D46"/>
    <mergeCell ref="B52:D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2026-03-09T14:28:08Z</dcterms:created>
  <dc:creator>openpyxl</dc:creator>
  <dc:description/>
  <dc:language>en-US</dc:language>
  <cp:lastModifiedBy/>
  <dcterms:modified xsi:type="dcterms:W3CDTF">2026-03-09T14:39:11Z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