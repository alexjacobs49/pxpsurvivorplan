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b7ba95c5857df4/Documents/06 Claude Code/Complete Sheets/"/>
    </mc:Choice>
  </mc:AlternateContent>
  <xr:revisionPtr revIDLastSave="12" documentId="13_ncr:1_{4BFC3653-C80E-5742-BFA3-59877151DAA9}" xr6:coauthVersionLast="47" xr6:coauthVersionMax="47" xr10:uidLastSave="{3A2275F1-0B60-409A-A3B7-DA631FA1D5EC}"/>
  <bookViews>
    <workbookView xWindow="-10" yWindow="110" windowWidth="9870" windowHeight="10950" firstSheet="1" activeTab="1" xr2:uid="{ACBD71B1-1B6B-4A8D-8CAB-B9DFFE0C9D15}"/>
  </bookViews>
  <sheets>
    <sheet name="Multiple Choice" sheetId="5" r:id="rId1"/>
    <sheet name="Short Answer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6" l="1"/>
  <c r="D24" i="6"/>
  <c r="D38" i="5"/>
  <c r="C38" i="5"/>
  <c r="D11" i="6"/>
  <c r="C40" i="5" l="1"/>
  <c r="D40" i="6" l="1"/>
  <c r="F14" i="5"/>
  <c r="G14" i="5" s="1"/>
  <c r="F12" i="5"/>
  <c r="G12" i="5" s="1"/>
  <c r="F13" i="5"/>
  <c r="G13" i="5" s="1"/>
  <c r="F11" i="5"/>
  <c r="G11" i="5" s="1"/>
  <c r="D8" i="6"/>
  <c r="C27" i="5"/>
  <c r="G15" i="5" l="1"/>
  <c r="F10" i="5" s="1"/>
  <c r="F7" i="5" s="1"/>
  <c r="D27" i="5"/>
  <c r="C29" i="5" s="1"/>
  <c r="W6" i="6"/>
  <c r="S6" i="6"/>
  <c r="T6" i="6"/>
  <c r="U6" i="6"/>
  <c r="V6" i="6"/>
  <c r="R6" i="6" l="1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L7" i="6" l="1"/>
  <c r="E7" i="6" l="1"/>
  <c r="D7" i="6"/>
  <c r="S7" i="6"/>
  <c r="U7" i="6"/>
  <c r="T7" i="6"/>
  <c r="W7" i="6"/>
  <c r="V7" i="6"/>
  <c r="K7" i="6"/>
  <c r="O7" i="6"/>
  <c r="R7" i="6"/>
  <c r="G7" i="6"/>
  <c r="J7" i="6"/>
  <c r="N7" i="6"/>
  <c r="Q7" i="6"/>
  <c r="F7" i="6"/>
  <c r="I7" i="6"/>
  <c r="M7" i="6"/>
  <c r="H7" i="6"/>
  <c r="P7" i="6"/>
  <c r="D14" i="6" l="1"/>
  <c r="D17" i="6"/>
  <c r="D33" i="6" s="1"/>
  <c r="E21" i="6" l="1"/>
</calcChain>
</file>

<file path=xl/sharedStrings.xml><?xml version="1.0" encoding="utf-8"?>
<sst xmlns="http://schemas.openxmlformats.org/spreadsheetml/2006/main" count="71" uniqueCount="52">
  <si>
    <t>(a)</t>
  </si>
  <si>
    <t>Q1</t>
  </si>
  <si>
    <t>Q2</t>
  </si>
  <si>
    <t>Q3</t>
  </si>
  <si>
    <t>Q4</t>
  </si>
  <si>
    <t>Modified duration</t>
  </si>
  <si>
    <t xml:space="preserve">Face value </t>
  </si>
  <si>
    <t>Coupon rate</t>
  </si>
  <si>
    <t>CF</t>
  </si>
  <si>
    <t>PV</t>
  </si>
  <si>
    <t>Macauley duration</t>
  </si>
  <si>
    <t>Dollar loss</t>
  </si>
  <si>
    <t>Answer</t>
  </si>
  <si>
    <t>Yield</t>
  </si>
  <si>
    <t>(b)</t>
  </si>
  <si>
    <t xml:space="preserve">Duration is increasing in maturity and decreasing in coupon rate. </t>
  </si>
  <si>
    <t>Liability</t>
  </si>
  <si>
    <t>Value</t>
  </si>
  <si>
    <t>MoD</t>
  </si>
  <si>
    <t>Asset</t>
  </si>
  <si>
    <t>Equity</t>
  </si>
  <si>
    <t>Change in equity</t>
  </si>
  <si>
    <t xml:space="preserve">Answer: </t>
  </si>
  <si>
    <t>Since yield is lower than coupon rate, the bond is trading at a premium, price is larger than face value $100</t>
  </si>
  <si>
    <t>(c)</t>
  </si>
  <si>
    <t>Price</t>
  </si>
  <si>
    <t xml:space="preserve">Price </t>
  </si>
  <si>
    <t>Portfolio duration</t>
  </si>
  <si>
    <t xml:space="preserve">Asset 1 </t>
  </si>
  <si>
    <t>Asset 2</t>
  </si>
  <si>
    <t>ytm</t>
  </si>
  <si>
    <t>coupon</t>
  </si>
  <si>
    <t>Maturity (Years)</t>
  </si>
  <si>
    <t>time</t>
  </si>
  <si>
    <t>Interpretation:</t>
  </si>
  <si>
    <t>The money invested in this bond is locked in for 8.02 years</t>
  </si>
  <si>
    <t xml:space="preserve">It takes (on average) 8.02 years for an investor to receive all the cash-flow of this bond </t>
  </si>
  <si>
    <t>(e)</t>
  </si>
  <si>
    <t>(f)</t>
  </si>
  <si>
    <t>Amt in 5-year</t>
  </si>
  <si>
    <t>MoD of 5-year bond</t>
  </si>
  <si>
    <t>Amt in 10-year</t>
  </si>
  <si>
    <t>Short $14,529.1 of this 10-year bond</t>
  </si>
  <si>
    <t>Margin</t>
  </si>
  <si>
    <t>Benchmark</t>
  </si>
  <si>
    <t xml:space="preserve">Coupon payment </t>
  </si>
  <si>
    <t>The weighted average arrival time of all cash flows is 8.02 years.</t>
  </si>
  <si>
    <t xml:space="preserve">When interest rate decreases, bond value increases by less than 0.5%. </t>
  </si>
  <si>
    <t>Period</t>
  </si>
  <si>
    <t xml:space="preserve">(c) </t>
  </si>
  <si>
    <t>(d)</t>
  </si>
  <si>
    <t>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</si>
</sst>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6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9" fontId="0" fillId="0" borderId="0" xfId="0" applyNumberFormat="1"/>
    <xf numFmtId="9" fontId="0" fillId="0" borderId="0" xfId="1" applyFont="1"/>
    <xf numFmtId="0" fontId="0" fillId="0" borderId="1" xfId="0" applyBorder="1" applyAlignment="1">
      <alignment horizontal="center"/>
    </xf>
    <xf numFmtId="0" fontId="4" fillId="0" borderId="0" xfId="0" applyFont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9" xfId="1" applyFont="1" applyFill="1" applyBorder="1"/>
    <xf numFmtId="9" fontId="0" fillId="0" borderId="9" xfId="0" applyNumberFormat="1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6" xfId="0" applyFont="1" applyBorder="1"/>
    <xf numFmtId="0" fontId="0" fillId="2" borderId="11" xfId="0" applyFill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/>
    </xf>
    <xf numFmtId="2" fontId="0" fillId="0" borderId="0" xfId="1" applyNumberFormat="1" applyFont="1" applyBorder="1" applyAlignment="1">
      <alignment horizontal="center"/>
    </xf>
    <xf numFmtId="0" fontId="2" fillId="0" borderId="6" xfId="0" applyFont="1" applyBorder="1"/>
    <xf numFmtId="2" fontId="0" fillId="0" borderId="0" xfId="1" applyNumberFormat="1" applyFont="1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2" xfId="0" applyNumberFormat="1" applyBorder="1"/>
    <xf numFmtId="0" fontId="0" fillId="3" borderId="1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2" xfId="0" applyFill="1" applyBorder="1"/>
    <xf numFmtId="0" fontId="0" fillId="3" borderId="14" xfId="0" applyFill="1" applyBorder="1"/>
    <xf numFmtId="0" fontId="0" fillId="3" borderId="2" xfId="0" applyFill="1" applyBorder="1" applyAlignment="1">
      <alignment horizontal="center"/>
    </xf>
    <xf numFmtId="164" fontId="0" fillId="0" borderId="12" xfId="0" applyNumberFormat="1" applyBorder="1"/>
    <xf numFmtId="2" fontId="0" fillId="0" borderId="12" xfId="0" applyNumberFormat="1" applyBorder="1"/>
    <xf numFmtId="0" fontId="0" fillId="0" borderId="16" xfId="0" applyBorder="1"/>
    <xf numFmtId="10" fontId="0" fillId="0" borderId="7" xfId="0" applyNumberFormat="1" applyBorder="1"/>
    <xf numFmtId="10" fontId="0" fillId="0" borderId="5" xfId="0" applyNumberFormat="1" applyBorder="1"/>
    <xf numFmtId="10" fontId="0" fillId="0" borderId="10" xfId="0" applyNumberFormat="1" applyBorder="1"/>
    <xf numFmtId="0" fontId="5" fillId="0" borderId="11" xfId="0" applyFont="1" applyBorder="1"/>
    <xf numFmtId="0" fontId="0" fillId="0" borderId="15" xfId="0" applyBorder="1"/>
    <xf numFmtId="2" fontId="0" fillId="0" borderId="7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0EC6-5158-481E-813E-D13E71608C4B}">
  <dimension ref="B1:I42"/>
  <sheetViews>
    <sheetView topLeftCell="B27" workbookViewId="0">
      <selection activeCell="B35" sqref="B35:D40"/>
    </sheetView>
  </sheetViews>
  <sheetFormatPr defaultColWidth="9.140625" defaultRowHeight="18.5" x14ac:dyDescent="0.45"/>
  <cols>
    <col min="2" max="2" width="18.5703125" customWidth="1"/>
    <col min="3" max="3" width="13.42578125" customWidth="1"/>
  </cols>
  <sheetData>
    <row r="1" spans="2:9" ht="19" thickBot="1" x14ac:dyDescent="0.5"/>
    <row r="2" spans="2:9" x14ac:dyDescent="0.45">
      <c r="B2" s="6" t="s">
        <v>1</v>
      </c>
      <c r="C2" s="7"/>
      <c r="D2" s="7"/>
      <c r="E2" s="7"/>
      <c r="F2" s="7"/>
      <c r="G2" s="7"/>
      <c r="H2" s="7"/>
      <c r="I2" s="8"/>
    </row>
    <row r="3" spans="2:9" ht="19" thickBot="1" x14ac:dyDescent="0.5">
      <c r="B3" s="9" t="s">
        <v>23</v>
      </c>
      <c r="I3" s="10"/>
    </row>
    <row r="4" spans="2:9" ht="19" thickBot="1" x14ac:dyDescent="0.5">
      <c r="B4" s="24" t="s">
        <v>12</v>
      </c>
      <c r="C4" s="17" t="s">
        <v>24</v>
      </c>
      <c r="D4" s="11"/>
      <c r="E4" s="12"/>
      <c r="F4" s="12"/>
      <c r="G4" s="13"/>
      <c r="H4" s="13"/>
      <c r="I4" s="14"/>
    </row>
    <row r="5" spans="2:9" ht="19" thickBot="1" x14ac:dyDescent="0.5">
      <c r="D5" s="3"/>
      <c r="E5" s="2"/>
    </row>
    <row r="6" spans="2:9" x14ac:dyDescent="0.45">
      <c r="B6" s="6" t="s">
        <v>2</v>
      </c>
      <c r="C6" s="7"/>
      <c r="D6" s="7"/>
      <c r="E6" s="7"/>
      <c r="F6" s="7"/>
      <c r="G6" s="7"/>
      <c r="H6" s="7"/>
      <c r="I6" s="8"/>
    </row>
    <row r="7" spans="2:9" x14ac:dyDescent="0.45">
      <c r="B7" s="9"/>
      <c r="E7" s="18" t="s">
        <v>30</v>
      </c>
      <c r="F7" s="19">
        <f>IRR(F10:F14)*2</f>
        <v>4.2101190644260544E-2</v>
      </c>
      <c r="G7" s="18"/>
      <c r="I7" s="10"/>
    </row>
    <row r="8" spans="2:9" x14ac:dyDescent="0.45">
      <c r="B8" s="9"/>
      <c r="E8" s="18" t="s">
        <v>31</v>
      </c>
      <c r="F8" s="20">
        <v>0.05</v>
      </c>
      <c r="G8" s="18"/>
      <c r="I8" s="10"/>
    </row>
    <row r="9" spans="2:9" x14ac:dyDescent="0.45">
      <c r="B9" s="21"/>
      <c r="C9" s="18"/>
      <c r="E9" s="18" t="s">
        <v>33</v>
      </c>
      <c r="F9" s="18" t="s">
        <v>8</v>
      </c>
      <c r="G9" s="18" t="s">
        <v>9</v>
      </c>
      <c r="I9" s="10"/>
    </row>
    <row r="10" spans="2:9" x14ac:dyDescent="0.45">
      <c r="B10" s="22" t="s">
        <v>32</v>
      </c>
      <c r="C10" s="4" t="s">
        <v>25</v>
      </c>
      <c r="E10" s="18">
        <v>0</v>
      </c>
      <c r="F10" s="18">
        <f>-G15</f>
        <v>-101.5</v>
      </c>
      <c r="G10" s="18"/>
      <c r="I10" s="10"/>
    </row>
    <row r="11" spans="2:9" x14ac:dyDescent="0.45">
      <c r="B11" s="22">
        <v>0.5</v>
      </c>
      <c r="C11" s="4">
        <v>98</v>
      </c>
      <c r="E11" s="18">
        <v>0.5</v>
      </c>
      <c r="F11" s="18">
        <f>$F$8*100/2</f>
        <v>2.5</v>
      </c>
      <c r="G11" s="18">
        <f>F11*C11/100</f>
        <v>2.4500000000000002</v>
      </c>
      <c r="I11" s="10"/>
    </row>
    <row r="12" spans="2:9" x14ac:dyDescent="0.45">
      <c r="B12" s="22">
        <v>1</v>
      </c>
      <c r="C12" s="4">
        <v>96</v>
      </c>
      <c r="E12" s="18">
        <v>1</v>
      </c>
      <c r="F12" s="18">
        <f t="shared" ref="F12:F13" si="0">$F$8*100/2</f>
        <v>2.5</v>
      </c>
      <c r="G12" s="18">
        <f t="shared" ref="G12:G14" si="1">F12*C12/100</f>
        <v>2.4</v>
      </c>
      <c r="I12" s="10"/>
    </row>
    <row r="13" spans="2:9" x14ac:dyDescent="0.45">
      <c r="B13" s="22">
        <v>1.5</v>
      </c>
      <c r="C13" s="4">
        <v>94</v>
      </c>
      <c r="E13" s="18">
        <v>1.5</v>
      </c>
      <c r="F13" s="18">
        <f t="shared" si="0"/>
        <v>2.5</v>
      </c>
      <c r="G13" s="18">
        <f t="shared" si="1"/>
        <v>2.35</v>
      </c>
      <c r="I13" s="10"/>
    </row>
    <row r="14" spans="2:9" x14ac:dyDescent="0.45">
      <c r="B14" s="22">
        <v>2</v>
      </c>
      <c r="C14" s="4">
        <v>92</v>
      </c>
      <c r="E14" s="18">
        <v>2</v>
      </c>
      <c r="F14" s="18">
        <f>$F$8*100/2+100</f>
        <v>102.5</v>
      </c>
      <c r="G14" s="18">
        <f t="shared" si="1"/>
        <v>94.3</v>
      </c>
      <c r="I14" s="10"/>
    </row>
    <row r="15" spans="2:9" x14ac:dyDescent="0.45">
      <c r="B15" s="23"/>
      <c r="E15" s="18"/>
      <c r="F15" s="18" t="s">
        <v>25</v>
      </c>
      <c r="G15" s="18">
        <f>SUM(G11:G14)</f>
        <v>101.5</v>
      </c>
      <c r="I15" s="10"/>
    </row>
    <row r="16" spans="2:9" ht="19" thickBot="1" x14ac:dyDescent="0.5">
      <c r="B16" s="9"/>
      <c r="I16" s="10"/>
    </row>
    <row r="17" spans="2:9" ht="19" thickBot="1" x14ac:dyDescent="0.5">
      <c r="B17" s="24" t="s">
        <v>12</v>
      </c>
      <c r="C17" s="17" t="s">
        <v>14</v>
      </c>
      <c r="D17" s="13"/>
      <c r="E17" s="13"/>
      <c r="F17" s="13"/>
      <c r="G17" s="13"/>
      <c r="H17" s="13"/>
      <c r="I17" s="14"/>
    </row>
    <row r="19" spans="2:9" ht="19" thickBot="1" x14ac:dyDescent="0.5">
      <c r="B19" s="1" t="s">
        <v>3</v>
      </c>
    </row>
    <row r="20" spans="2:9" ht="19" thickBot="1" x14ac:dyDescent="0.5">
      <c r="B20" s="25" t="s">
        <v>15</v>
      </c>
      <c r="C20" s="7"/>
      <c r="D20" s="7"/>
      <c r="E20" s="7"/>
      <c r="F20" s="8"/>
    </row>
    <row r="21" spans="2:9" ht="19" thickBot="1" x14ac:dyDescent="0.5">
      <c r="B21" s="24" t="s">
        <v>12</v>
      </c>
      <c r="C21" s="17" t="s">
        <v>0</v>
      </c>
      <c r="D21" s="13"/>
      <c r="E21" s="13"/>
      <c r="F21" s="14"/>
    </row>
    <row r="22" spans="2:9" ht="19" thickBot="1" x14ac:dyDescent="0.5"/>
    <row r="23" spans="2:9" x14ac:dyDescent="0.45">
      <c r="B23" s="6" t="s">
        <v>4</v>
      </c>
      <c r="C23" s="7"/>
      <c r="D23" s="7"/>
      <c r="E23" s="7"/>
      <c r="F23" s="8"/>
    </row>
    <row r="24" spans="2:9" x14ac:dyDescent="0.45">
      <c r="B24" s="9"/>
      <c r="C24" s="18" t="s">
        <v>17</v>
      </c>
      <c r="D24" s="18" t="s">
        <v>18</v>
      </c>
      <c r="F24" s="10"/>
    </row>
    <row r="25" spans="2:9" x14ac:dyDescent="0.45">
      <c r="B25" s="9" t="s">
        <v>19</v>
      </c>
      <c r="C25" s="18">
        <v>120</v>
      </c>
      <c r="D25" s="18">
        <v>6.5</v>
      </c>
      <c r="F25" s="10"/>
    </row>
    <row r="26" spans="2:9" x14ac:dyDescent="0.45">
      <c r="B26" s="9" t="s">
        <v>16</v>
      </c>
      <c r="C26" s="26">
        <v>105</v>
      </c>
      <c r="D26" s="18">
        <v>1.2</v>
      </c>
      <c r="F26" s="10"/>
    </row>
    <row r="27" spans="2:9" x14ac:dyDescent="0.45">
      <c r="B27" s="9" t="s">
        <v>20</v>
      </c>
      <c r="C27" s="26">
        <f>C25-C26</f>
        <v>15</v>
      </c>
      <c r="D27" s="27">
        <f>C25/C27*D25-C26/C27*1.2</f>
        <v>43.6</v>
      </c>
      <c r="F27" s="10"/>
    </row>
    <row r="28" spans="2:9" x14ac:dyDescent="0.45">
      <c r="B28" s="28"/>
      <c r="F28" s="10"/>
    </row>
    <row r="29" spans="2:9" x14ac:dyDescent="0.45">
      <c r="B29" s="9" t="s">
        <v>21</v>
      </c>
      <c r="C29" s="29">
        <f>-C27*D27*1%</f>
        <v>-6.54</v>
      </c>
      <c r="F29" s="10"/>
    </row>
    <row r="30" spans="2:9" ht="19" thickBot="1" x14ac:dyDescent="0.5">
      <c r="B30" s="9"/>
      <c r="F30" s="10"/>
    </row>
    <row r="31" spans="2:9" ht="19" thickBot="1" x14ac:dyDescent="0.5">
      <c r="B31" s="15" t="s">
        <v>22</v>
      </c>
      <c r="C31" s="16" t="s">
        <v>14</v>
      </c>
      <c r="D31" s="13"/>
      <c r="E31" s="13"/>
      <c r="F31" s="14"/>
    </row>
    <row r="33" spans="2:4" ht="19" thickBot="1" x14ac:dyDescent="0.5"/>
    <row r="34" spans="2:4" x14ac:dyDescent="0.45">
      <c r="B34" s="6" t="s">
        <v>4</v>
      </c>
      <c r="C34" s="7"/>
      <c r="D34" s="7"/>
    </row>
    <row r="35" spans="2:4" x14ac:dyDescent="0.45">
      <c r="B35" s="9"/>
      <c r="C35" s="18" t="s">
        <v>17</v>
      </c>
      <c r="D35" s="18" t="s">
        <v>18</v>
      </c>
    </row>
    <row r="36" spans="2:4" x14ac:dyDescent="0.45">
      <c r="B36" s="9" t="s">
        <v>19</v>
      </c>
      <c r="C36" s="18">
        <v>80</v>
      </c>
      <c r="D36" s="18">
        <v>5</v>
      </c>
    </row>
    <row r="37" spans="2:4" x14ac:dyDescent="0.45">
      <c r="B37" s="9" t="s">
        <v>16</v>
      </c>
      <c r="C37" s="26">
        <v>70</v>
      </c>
      <c r="D37" s="18">
        <v>1.5</v>
      </c>
    </row>
    <row r="38" spans="2:4" x14ac:dyDescent="0.45">
      <c r="B38" s="9" t="s">
        <v>20</v>
      </c>
      <c r="C38" s="26">
        <f>C36-C37</f>
        <v>10</v>
      </c>
      <c r="D38" s="27">
        <f>C36/C38*D36-C37/C38*D37</f>
        <v>29.5</v>
      </c>
    </row>
    <row r="39" spans="2:4" x14ac:dyDescent="0.45">
      <c r="B39" s="28"/>
    </row>
    <row r="40" spans="2:4" x14ac:dyDescent="0.45">
      <c r="B40" s="9" t="s">
        <v>21</v>
      </c>
      <c r="C40" s="29">
        <f>-C38*D38*1%</f>
        <v>-2.95</v>
      </c>
    </row>
    <row r="41" spans="2:4" ht="19" thickBot="1" x14ac:dyDescent="0.5">
      <c r="B41" s="9"/>
    </row>
    <row r="42" spans="2:4" ht="19" thickBot="1" x14ac:dyDescent="0.5">
      <c r="B42" s="15" t="s">
        <v>22</v>
      </c>
      <c r="C42" s="16" t="s">
        <v>14</v>
      </c>
      <c r="D4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9ED2-10B7-48E0-91F5-A15F06CBF8BF}">
  <dimension ref="B1:W42"/>
  <sheetViews>
    <sheetView tabSelected="1" topLeftCell="A14" workbookViewId="0">
      <selection activeCell="D28" sqref="D28"/>
    </sheetView>
  </sheetViews>
  <sheetFormatPr defaultColWidth="9.140625" defaultRowHeight="18.5" x14ac:dyDescent="0.45"/>
  <cols>
    <col min="1" max="1" width="5.140625" customWidth="1"/>
    <col min="3" max="3" width="24.140625" customWidth="1"/>
    <col min="6" max="7" width="15.5703125" customWidth="1"/>
  </cols>
  <sheetData>
    <row r="1" spans="2:23" ht="19" thickBot="1" x14ac:dyDescent="0.5"/>
    <row r="2" spans="2:23" ht="19" thickBot="1" x14ac:dyDescent="0.5">
      <c r="C2" s="44" t="s">
        <v>6</v>
      </c>
      <c r="D2" s="39">
        <v>10</v>
      </c>
    </row>
    <row r="3" spans="2:23" ht="19" thickBot="1" x14ac:dyDescent="0.5">
      <c r="C3" s="45" t="s">
        <v>7</v>
      </c>
      <c r="D3" s="35">
        <v>0.05</v>
      </c>
    </row>
    <row r="4" spans="2:23" ht="19" thickBot="1" x14ac:dyDescent="0.5"/>
    <row r="5" spans="2:23" ht="19" thickBot="1" x14ac:dyDescent="0.5">
      <c r="B5" s="44" t="s">
        <v>48</v>
      </c>
      <c r="C5" s="41">
        <v>0</v>
      </c>
      <c r="D5" s="42">
        <v>1</v>
      </c>
      <c r="E5" s="42">
        <v>2</v>
      </c>
      <c r="F5" s="42">
        <v>3</v>
      </c>
      <c r="G5" s="42">
        <v>4</v>
      </c>
      <c r="H5" s="42">
        <v>5</v>
      </c>
      <c r="I5" s="42">
        <v>6</v>
      </c>
      <c r="J5" s="42">
        <v>7</v>
      </c>
      <c r="K5" s="42">
        <v>8</v>
      </c>
      <c r="L5" s="42">
        <v>9</v>
      </c>
      <c r="M5" s="42">
        <v>10</v>
      </c>
      <c r="N5" s="42">
        <v>11</v>
      </c>
      <c r="O5" s="42">
        <v>12</v>
      </c>
      <c r="P5" s="42">
        <v>13</v>
      </c>
      <c r="Q5" s="42">
        <v>14</v>
      </c>
      <c r="R5" s="42">
        <v>15</v>
      </c>
      <c r="S5" s="42">
        <v>16</v>
      </c>
      <c r="T5" s="42">
        <v>17</v>
      </c>
      <c r="U5" s="42">
        <v>18</v>
      </c>
      <c r="V5" s="42">
        <v>19</v>
      </c>
      <c r="W5" s="43">
        <v>20</v>
      </c>
    </row>
    <row r="6" spans="2:23" ht="19" thickBot="1" x14ac:dyDescent="0.5">
      <c r="B6" s="45" t="s">
        <v>8</v>
      </c>
      <c r="C6" s="33">
        <v>-10.32</v>
      </c>
      <c r="D6" s="34">
        <f t="shared" ref="D6:V6" si="0">$D$2*$D$3/2</f>
        <v>0.25</v>
      </c>
      <c r="E6" s="34">
        <f t="shared" si="0"/>
        <v>0.25</v>
      </c>
      <c r="F6" s="34">
        <f t="shared" si="0"/>
        <v>0.25</v>
      </c>
      <c r="G6" s="34">
        <f t="shared" si="0"/>
        <v>0.25</v>
      </c>
      <c r="H6" s="34">
        <f t="shared" si="0"/>
        <v>0.25</v>
      </c>
      <c r="I6" s="34">
        <f t="shared" si="0"/>
        <v>0.25</v>
      </c>
      <c r="J6" s="34">
        <f t="shared" si="0"/>
        <v>0.25</v>
      </c>
      <c r="K6" s="34">
        <f t="shared" si="0"/>
        <v>0.25</v>
      </c>
      <c r="L6" s="34">
        <f t="shared" si="0"/>
        <v>0.25</v>
      </c>
      <c r="M6" s="34">
        <f t="shared" si="0"/>
        <v>0.25</v>
      </c>
      <c r="N6" s="34">
        <f t="shared" si="0"/>
        <v>0.25</v>
      </c>
      <c r="O6" s="34">
        <f t="shared" si="0"/>
        <v>0.25</v>
      </c>
      <c r="P6" s="34">
        <f t="shared" si="0"/>
        <v>0.25</v>
      </c>
      <c r="Q6" s="34">
        <f t="shared" si="0"/>
        <v>0.25</v>
      </c>
      <c r="R6" s="34">
        <f t="shared" si="0"/>
        <v>0.25</v>
      </c>
      <c r="S6" s="34">
        <f t="shared" si="0"/>
        <v>0.25</v>
      </c>
      <c r="T6" s="34">
        <f t="shared" si="0"/>
        <v>0.25</v>
      </c>
      <c r="U6" s="34">
        <f t="shared" si="0"/>
        <v>0.25</v>
      </c>
      <c r="V6" s="34">
        <f t="shared" si="0"/>
        <v>0.25</v>
      </c>
      <c r="W6" s="35">
        <f>$D$2*$D$3/2+D2</f>
        <v>10.25</v>
      </c>
    </row>
    <row r="7" spans="2:23" ht="19" thickBot="1" x14ac:dyDescent="0.5">
      <c r="C7" s="46" t="s">
        <v>9</v>
      </c>
      <c r="D7" s="57">
        <f>D6/(1+$D$11/2)^D5</f>
        <v>0.24438258818901973</v>
      </c>
      <c r="E7" s="57">
        <f>E6/(1+$D$11/2)^E5</f>
        <v>0.23889139763985603</v>
      </c>
      <c r="F7" s="57">
        <f t="shared" ref="F7:W7" si="1">F6/(1+$D$11/2)^F5</f>
        <v>0.23352359220528118</v>
      </c>
      <c r="G7" s="57">
        <f t="shared" si="1"/>
        <v>0.22827639946529521</v>
      </c>
      <c r="H7" s="57">
        <f t="shared" si="1"/>
        <v>0.2231471092951976</v>
      </c>
      <c r="I7" s="57">
        <f t="shared" si="1"/>
        <v>0.21813307246583383</v>
      </c>
      <c r="J7" s="57">
        <f t="shared" si="1"/>
        <v>0.21323169927529387</v>
      </c>
      <c r="K7" s="57">
        <f t="shared" si="1"/>
        <v>0.20844045821135612</v>
      </c>
      <c r="L7" s="57">
        <f t="shared" si="1"/>
        <v>0.20375687464398567</v>
      </c>
      <c r="M7" s="57">
        <f t="shared" si="1"/>
        <v>0.19917852954721146</v>
      </c>
      <c r="N7" s="57">
        <f t="shared" si="1"/>
        <v>0.1947030582497227</v>
      </c>
      <c r="O7" s="57">
        <f t="shared" si="1"/>
        <v>0.19032814921353883</v>
      </c>
      <c r="P7" s="57">
        <f t="shared" si="1"/>
        <v>0.18605154284012221</v>
      </c>
      <c r="Q7" s="57">
        <f t="shared" si="1"/>
        <v>0.18187103030331739</v>
      </c>
      <c r="R7" s="57">
        <f t="shared" si="1"/>
        <v>0.17778445240851337</v>
      </c>
      <c r="S7" s="57">
        <f t="shared" si="1"/>
        <v>0.17378969847744036</v>
      </c>
      <c r="T7" s="57">
        <f t="shared" si="1"/>
        <v>0.16988470525802488</v>
      </c>
      <c r="U7" s="57">
        <f t="shared" si="1"/>
        <v>0.16606745585873955</v>
      </c>
      <c r="V7" s="57">
        <f t="shared" si="1"/>
        <v>0.16233597870689825</v>
      </c>
      <c r="W7" s="58">
        <f t="shared" si="1"/>
        <v>6.5062222077446599</v>
      </c>
    </row>
    <row r="8" spans="2:23" ht="19" thickBot="1" x14ac:dyDescent="0.5">
      <c r="C8" s="46" t="s">
        <v>26</v>
      </c>
      <c r="D8" s="59">
        <f>10.32</f>
        <v>10.32</v>
      </c>
    </row>
    <row r="9" spans="2:23" x14ac:dyDescent="0.45">
      <c r="C9" s="18"/>
    </row>
    <row r="10" spans="2:23" ht="19" thickBot="1" x14ac:dyDescent="0.5">
      <c r="C10" t="s">
        <v>0</v>
      </c>
    </row>
    <row r="11" spans="2:23" ht="19" thickBot="1" x14ac:dyDescent="0.5">
      <c r="C11" s="31" t="s">
        <v>13</v>
      </c>
      <c r="D11" s="47">
        <f>IRR(C6:W6)*2</f>
        <v>4.5972275296760845E-2</v>
      </c>
    </row>
    <row r="13" spans="2:23" ht="19" thickBot="1" x14ac:dyDescent="0.5">
      <c r="C13" t="s">
        <v>14</v>
      </c>
    </row>
    <row r="14" spans="2:23" ht="19" thickBot="1" x14ac:dyDescent="0.5">
      <c r="C14" s="31" t="s">
        <v>10</v>
      </c>
      <c r="D14" s="40">
        <f>SUMPRODUCT(D5:W5, D7:W7)/D8/2</f>
        <v>8.0266539867497499</v>
      </c>
      <c r="F14" s="25" t="s">
        <v>34</v>
      </c>
      <c r="G14" s="7" t="s">
        <v>35</v>
      </c>
      <c r="H14" s="7"/>
      <c r="I14" s="7"/>
      <c r="J14" s="7"/>
      <c r="K14" s="7"/>
      <c r="L14" s="7"/>
      <c r="M14" s="8"/>
      <c r="N14" s="5"/>
    </row>
    <row r="15" spans="2:23" x14ac:dyDescent="0.45">
      <c r="F15" s="9"/>
      <c r="G15" t="s">
        <v>36</v>
      </c>
      <c r="M15" s="10"/>
    </row>
    <row r="16" spans="2:23" ht="19" thickBot="1" x14ac:dyDescent="0.5">
      <c r="C16" t="s">
        <v>49</v>
      </c>
      <c r="F16" s="30"/>
      <c r="G16" s="13" t="s">
        <v>46</v>
      </c>
      <c r="H16" s="13"/>
      <c r="I16" s="13"/>
      <c r="J16" s="13"/>
      <c r="K16" s="13"/>
      <c r="L16" s="13"/>
      <c r="M16" s="14"/>
    </row>
    <row r="17" spans="3:5" ht="19" thickBot="1" x14ac:dyDescent="0.5">
      <c r="C17" s="31" t="s">
        <v>5</v>
      </c>
      <c r="D17" s="48">
        <f>D14/(1 +D11/ 2)</f>
        <v>7.8462979031184705</v>
      </c>
    </row>
    <row r="19" spans="3:5" ht="19" thickBot="1" x14ac:dyDescent="0.5">
      <c r="C19" t="s">
        <v>50</v>
      </c>
    </row>
    <row r="20" spans="3:5" ht="19" thickBot="1" x14ac:dyDescent="0.5">
      <c r="C20" s="37"/>
      <c r="D20" s="38" t="s">
        <v>17</v>
      </c>
      <c r="E20" s="39" t="s">
        <v>18</v>
      </c>
    </row>
    <row r="21" spans="3:5" x14ac:dyDescent="0.45">
      <c r="C21" s="49" t="s">
        <v>28</v>
      </c>
      <c r="D21" s="18">
        <v>200000</v>
      </c>
      <c r="E21" s="55">
        <f>D17</f>
        <v>7.8462979031184705</v>
      </c>
    </row>
    <row r="22" spans="3:5" ht="19" thickBot="1" x14ac:dyDescent="0.5">
      <c r="C22" s="36" t="s">
        <v>29</v>
      </c>
      <c r="D22" s="34">
        <v>600000</v>
      </c>
      <c r="E22" s="56">
        <v>6.8</v>
      </c>
    </row>
    <row r="23" spans="3:5" ht="19" thickBot="1" x14ac:dyDescent="0.5"/>
    <row r="24" spans="3:5" ht="19" thickBot="1" x14ac:dyDescent="0.5">
      <c r="C24" s="31" t="s">
        <v>27</v>
      </c>
      <c r="D24" s="40">
        <f xml:space="preserve"> D21/(D21 + D22)*E21 + D22/(D21+D22)*E22</f>
        <v>7.0615744757796168</v>
      </c>
    </row>
    <row r="26" spans="3:5" ht="19" thickBot="1" x14ac:dyDescent="0.5">
      <c r="C26" t="s">
        <v>37</v>
      </c>
    </row>
    <row r="27" spans="3:5" ht="19" thickBot="1" x14ac:dyDescent="0.5">
      <c r="C27" s="31" t="s">
        <v>11</v>
      </c>
      <c r="D27" s="32">
        <f>(D21+D22)*D24*0.005</f>
        <v>28246.29790311847</v>
      </c>
    </row>
    <row r="29" spans="3:5" ht="19" thickBot="1" x14ac:dyDescent="0.5">
      <c r="C29" t="s">
        <v>38</v>
      </c>
    </row>
    <row r="30" spans="3:5" x14ac:dyDescent="0.45">
      <c r="C30" s="25" t="s">
        <v>39</v>
      </c>
      <c r="D30" s="8">
        <v>25000</v>
      </c>
    </row>
    <row r="31" spans="3:5" x14ac:dyDescent="0.45">
      <c r="C31" s="9" t="s">
        <v>40</v>
      </c>
      <c r="D31" s="10">
        <v>4.5599999999999996</v>
      </c>
    </row>
    <row r="32" spans="3:5" x14ac:dyDescent="0.45">
      <c r="C32" s="9"/>
      <c r="D32" s="50"/>
    </row>
    <row r="33" spans="3:6" ht="19" thickBot="1" x14ac:dyDescent="0.5">
      <c r="C33" s="9" t="s">
        <v>41</v>
      </c>
      <c r="D33" s="10">
        <f>-D30*D31/D17</f>
        <v>-14529.145006677771</v>
      </c>
    </row>
    <row r="34" spans="3:6" ht="19" thickBot="1" x14ac:dyDescent="0.5">
      <c r="C34" s="31" t="s">
        <v>42</v>
      </c>
      <c r="D34" s="32"/>
    </row>
    <row r="36" spans="3:6" ht="19" thickBot="1" x14ac:dyDescent="0.5">
      <c r="C36" t="s">
        <v>51</v>
      </c>
      <c r="D36" s="2"/>
    </row>
    <row r="37" spans="3:6" x14ac:dyDescent="0.45">
      <c r="C37" s="25" t="s">
        <v>43</v>
      </c>
      <c r="D37" s="51">
        <v>1.6500000000000001E-2</v>
      </c>
    </row>
    <row r="38" spans="3:6" ht="19" thickBot="1" x14ac:dyDescent="0.5">
      <c r="C38" s="30" t="s">
        <v>44</v>
      </c>
      <c r="D38" s="52">
        <v>2.5000000000000001E-2</v>
      </c>
    </row>
    <row r="39" spans="3:6" ht="19" thickBot="1" x14ac:dyDescent="0.5"/>
    <row r="40" spans="3:6" ht="19" thickBot="1" x14ac:dyDescent="0.5">
      <c r="C40" s="53" t="s">
        <v>45</v>
      </c>
      <c r="D40" s="32">
        <f>100*(D37+D38)/2</f>
        <v>2.0750000000000002</v>
      </c>
    </row>
    <row r="41" spans="3:6" ht="19" thickBot="1" x14ac:dyDescent="0.5"/>
    <row r="42" spans="3:6" ht="19" thickBot="1" x14ac:dyDescent="0.5">
      <c r="C42" s="31" t="s">
        <v>47</v>
      </c>
      <c r="D42" s="54"/>
      <c r="E42" s="54"/>
      <c r="F42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Choice</vt:lpstr>
      <vt:lpstr>Short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Lines, Anton</dc:creator>
  <cp:lastModifiedBy>Alex Jacobs</cp:lastModifiedBy>
  <dcterms:created xsi:type="dcterms:W3CDTF">2022-03-05T01:56:39Z</dcterms:created>
  <dcterms:modified xsi:type="dcterms:W3CDTF">2026-03-09T17:01:08Z</dcterms:modified>
</cp:coreProperties>
</file>