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mino/Dropbox/8. FACULTY/Teaching : Coursework/02 2025S CMI/COURSE Lecture Slides/04 Fixed Income 1 - Bond Pricing and Interest Rates/"/>
    </mc:Choice>
  </mc:AlternateContent>
  <xr:revisionPtr revIDLastSave="0" documentId="13_ncr:1_{333192CD-1A7F-F043-98F1-7E440D5508EC}" xr6:coauthVersionLast="47" xr6:coauthVersionMax="47" xr10:uidLastSave="{00000000-0000-0000-0000-000000000000}"/>
  <bookViews>
    <workbookView xWindow="0" yWindow="500" windowWidth="28800" windowHeight="16320" xr2:uid="{C1BCD90C-2058-2840-8855-9C2D71C6DDB8}"/>
  </bookViews>
  <sheets>
    <sheet name="01 Price &amp; Spot Rate (13,15)" sheetId="6" r:id="rId1"/>
    <sheet name="02 Bond Pricing (19)" sheetId="3" r:id="rId2"/>
    <sheet name="03 YTM &amp; IRR (22)" sheetId="1" r:id="rId3"/>
    <sheet name="04 YTM (24)" sheetId="2" r:id="rId4"/>
    <sheet name="05 YTM (25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5" l="1"/>
  <c r="D10" i="5"/>
  <c r="D8" i="2"/>
  <c r="C9" i="6"/>
  <c r="C15" i="6"/>
  <c r="G16" i="5"/>
  <c r="G17" i="5" s="1"/>
  <c r="E16" i="5"/>
  <c r="E17" i="5" s="1"/>
  <c r="F16" i="5"/>
  <c r="F17" i="5" s="1"/>
  <c r="D16" i="5"/>
  <c r="D17" i="5" s="1"/>
  <c r="G9" i="5"/>
  <c r="G10" i="5" s="1"/>
  <c r="E9" i="5"/>
  <c r="E10" i="5" s="1"/>
  <c r="F9" i="5"/>
  <c r="F10" i="5" s="1"/>
  <c r="D9" i="5"/>
  <c r="G14" i="3"/>
  <c r="E14" i="3"/>
  <c r="F14" i="3"/>
  <c r="D14" i="3"/>
  <c r="D9" i="3"/>
  <c r="D12" i="3" s="1"/>
  <c r="E9" i="3"/>
  <c r="E12" i="3" s="1"/>
  <c r="F9" i="3"/>
  <c r="F12" i="3" s="1"/>
  <c r="G9" i="3"/>
  <c r="G12" i="3" s="1"/>
  <c r="C9" i="3"/>
  <c r="C18" i="5" l="1"/>
  <c r="C16" i="5" s="1"/>
  <c r="C11" i="5"/>
  <c r="C9" i="5" s="1"/>
  <c r="C12" i="5" s="1"/>
  <c r="D15" i="3"/>
  <c r="F15" i="3"/>
  <c r="E15" i="3"/>
  <c r="G15" i="3"/>
  <c r="E8" i="2"/>
  <c r="F8" i="2"/>
  <c r="G8" i="2"/>
  <c r="H8" i="2"/>
  <c r="I8" i="2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C10" i="2" l="1"/>
  <c r="C16" i="1"/>
  <c r="C15" i="1"/>
  <c r="C17" i="3"/>
</calcChain>
</file>

<file path=xl/sharedStrings.xml><?xml version="1.0" encoding="utf-8"?>
<sst xmlns="http://schemas.openxmlformats.org/spreadsheetml/2006/main" count="47" uniqueCount="28">
  <si>
    <t>Bond 2 annualized IRR</t>
  </si>
  <si>
    <t>Bond 1 annualized IRR</t>
  </si>
  <si>
    <t>Bond 2 cash-flow</t>
  </si>
  <si>
    <t>Bond 1 cash-flow</t>
  </si>
  <si>
    <t>Period</t>
  </si>
  <si>
    <t>Bond 2</t>
  </si>
  <si>
    <t>Bond 1</t>
  </si>
  <si>
    <t>Coupon</t>
  </si>
  <si>
    <t>cash-flow</t>
  </si>
  <si>
    <t>Coupon rate</t>
  </si>
  <si>
    <t>Face value</t>
  </si>
  <si>
    <t>Year</t>
  </si>
  <si>
    <t>Spot rate</t>
  </si>
  <si>
    <t>Discount factor</t>
  </si>
  <si>
    <t>Cashflow</t>
  </si>
  <si>
    <t>PV</t>
  </si>
  <si>
    <t>Bond A coupon rate</t>
  </si>
  <si>
    <t>Price</t>
  </si>
  <si>
    <t>Present value</t>
  </si>
  <si>
    <t xml:space="preserve">Price </t>
  </si>
  <si>
    <t>Yield</t>
  </si>
  <si>
    <t>Bond B coupon rate</t>
  </si>
  <si>
    <t>Cash flow</t>
  </si>
  <si>
    <t>Calculating Price</t>
  </si>
  <si>
    <t>Calculating Spot Rate</t>
  </si>
  <si>
    <t>Bond Pricing</t>
  </si>
  <si>
    <t>Bond Yields</t>
  </si>
  <si>
    <t>YTM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</si>
</sst>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%"/>
    <numFmt numFmtId="165" formatCode="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6" xfId="1" applyNumberFormat="1" applyFon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0" fontId="0" fillId="3" borderId="10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3" borderId="9" xfId="0" applyNumberFormat="1" applyFill="1" applyBorder="1" applyAlignment="1">
      <alignment horizontal="center" vertical="center"/>
    </xf>
    <xf numFmtId="10" fontId="0" fillId="3" borderId="10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8" fontId="0" fillId="3" borderId="0" xfId="0" applyNumberFormat="1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65" fontId="0" fillId="3" borderId="12" xfId="0" applyNumberFormat="1" applyFill="1" applyBorder="1" applyAlignment="1">
      <alignment horizontal="center" vertical="center"/>
    </xf>
    <xf numFmtId="165" fontId="0" fillId="3" borderId="8" xfId="0" applyNumberFormat="1" applyFill="1" applyBorder="1" applyAlignment="1">
      <alignment horizontal="center" vertical="center"/>
    </xf>
    <xf numFmtId="164" fontId="0" fillId="3" borderId="4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7DBA-6A44-6E44-9883-5AB396471A5E}">
  <dimension ref="B1:F23"/>
  <sheetViews>
    <sheetView tabSelected="1" workbookViewId="0"/>
  </sheetViews>
  <sheetFormatPr baseColWidth="10" defaultRowHeight="16" x14ac:dyDescent="0.2"/>
  <cols>
    <col min="1" max="16384" width="10.83203125" style="12"/>
  </cols>
  <sheetData>
    <row r="1" spans="2:6" ht="17" thickBot="1" x14ac:dyDescent="0.25"/>
    <row r="2" spans="2:6" ht="25" customHeight="1" thickBot="1" x14ac:dyDescent="0.25">
      <c r="B2" s="61" t="s">
        <v>23</v>
      </c>
      <c r="C2" s="62"/>
      <c r="D2" s="62"/>
      <c r="E2" s="62"/>
      <c r="F2" s="63"/>
    </row>
    <row r="3" spans="2:6" ht="13" customHeight="1" thickBot="1" x14ac:dyDescent="0.25">
      <c r="B3" s="2"/>
      <c r="C3" s="2"/>
      <c r="D3" s="2"/>
      <c r="E3" s="2"/>
      <c r="F3" s="2"/>
    </row>
    <row r="4" spans="2:6" ht="15" customHeight="1" x14ac:dyDescent="0.2">
      <c r="B4" s="21" t="s">
        <v>10</v>
      </c>
      <c r="C4" s="51">
        <v>100</v>
      </c>
    </row>
    <row r="5" spans="2:6" ht="17" thickBot="1" x14ac:dyDescent="0.25">
      <c r="B5" s="17" t="s">
        <v>12</v>
      </c>
      <c r="C5" s="18">
        <v>5.1999999999999998E-3</v>
      </c>
    </row>
    <row r="6" spans="2:6" ht="17" thickBot="1" x14ac:dyDescent="0.25"/>
    <row r="7" spans="2:6" ht="17" thickBot="1" x14ac:dyDescent="0.25">
      <c r="B7" s="48" t="s">
        <v>4</v>
      </c>
      <c r="C7" s="20">
        <v>0</v>
      </c>
      <c r="D7" s="20">
        <v>1</v>
      </c>
      <c r="E7" s="14">
        <v>2</v>
      </c>
    </row>
    <row r="8" spans="2:6" ht="17" thickBot="1" x14ac:dyDescent="0.25">
      <c r="B8" s="48" t="s">
        <v>22</v>
      </c>
      <c r="C8" s="46"/>
      <c r="D8" s="46">
        <v>0</v>
      </c>
      <c r="E8" s="47">
        <v>100</v>
      </c>
    </row>
    <row r="9" spans="2:6" ht="17" thickBot="1" x14ac:dyDescent="0.25">
      <c r="B9" s="17" t="s">
        <v>17</v>
      </c>
      <c r="C9" s="52">
        <f>NPV(C5/2, D8:E8)</f>
        <v>99.482020992377741</v>
      </c>
    </row>
    <row r="11" spans="2:6" ht="17" thickBot="1" x14ac:dyDescent="0.25"/>
    <row r="12" spans="2:6" ht="23" customHeight="1" thickBot="1" x14ac:dyDescent="0.25">
      <c r="B12" s="61" t="s">
        <v>24</v>
      </c>
      <c r="C12" s="62"/>
      <c r="D12" s="62"/>
      <c r="E12" s="62"/>
      <c r="F12" s="63"/>
    </row>
    <row r="13" spans="2:6" ht="17" thickBot="1" x14ac:dyDescent="0.25">
      <c r="B13" s="17" t="s">
        <v>4</v>
      </c>
      <c r="C13" s="53">
        <v>0</v>
      </c>
      <c r="D13" s="53">
        <v>1</v>
      </c>
      <c r="E13" s="29">
        <v>2</v>
      </c>
    </row>
    <row r="14" spans="2:6" ht="17" thickBot="1" x14ac:dyDescent="0.25">
      <c r="B14" s="48" t="s">
        <v>22</v>
      </c>
      <c r="C14" s="45">
        <v>-99.48</v>
      </c>
      <c r="D14" s="46">
        <v>0</v>
      </c>
      <c r="E14" s="47">
        <v>100</v>
      </c>
    </row>
    <row r="15" spans="2:6" ht="17" thickBot="1" x14ac:dyDescent="0.25">
      <c r="B15" s="17" t="s">
        <v>12</v>
      </c>
      <c r="C15" s="34">
        <f>2*IRR(C14:E14)</f>
        <v>5.2203682817340002E-3</v>
      </c>
    </row>
    <row r="23" s="12" customFormat="1" x14ac:dyDescent="0.2"/>
  </sheetData>
  <mergeCells count="2">
    <mergeCell ref="B2:F2"/>
    <mergeCell ref="B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95AC-5166-0947-A9E7-1C1FA416110F}">
  <dimension ref="B1:G17"/>
  <sheetViews>
    <sheetView zoomScale="119" workbookViewId="0"/>
  </sheetViews>
  <sheetFormatPr baseColWidth="10" defaultRowHeight="16" x14ac:dyDescent="0.2"/>
  <cols>
    <col min="1" max="1" width="10.83203125" style="12"/>
    <col min="2" max="2" width="15.83203125" style="12" customWidth="1"/>
    <col min="3" max="16384" width="10.83203125" style="12"/>
  </cols>
  <sheetData>
    <row r="1" spans="2:7" ht="17" thickBot="1" x14ac:dyDescent="0.25"/>
    <row r="2" spans="2:7" x14ac:dyDescent="0.2">
      <c r="B2" s="64" t="s">
        <v>25</v>
      </c>
      <c r="C2" s="65"/>
      <c r="D2" s="65"/>
      <c r="E2" s="65"/>
      <c r="F2" s="65"/>
      <c r="G2" s="66"/>
    </row>
    <row r="3" spans="2:7" ht="17" thickBot="1" x14ac:dyDescent="0.25">
      <c r="B3" s="67"/>
      <c r="C3" s="68"/>
      <c r="D3" s="68"/>
      <c r="E3" s="68"/>
      <c r="F3" s="68"/>
      <c r="G3" s="69"/>
    </row>
    <row r="4" spans="2:7" ht="17" thickBot="1" x14ac:dyDescent="0.25"/>
    <row r="5" spans="2:7" ht="17" thickBot="1" x14ac:dyDescent="0.25">
      <c r="B5" s="48" t="s">
        <v>10</v>
      </c>
      <c r="C5" s="47">
        <v>100</v>
      </c>
    </row>
    <row r="6" spans="2:7" ht="17" thickBot="1" x14ac:dyDescent="0.25">
      <c r="B6" s="17" t="s">
        <v>9</v>
      </c>
      <c r="C6" s="54">
        <v>0.04</v>
      </c>
    </row>
    <row r="7" spans="2:7" ht="17" thickBot="1" x14ac:dyDescent="0.25"/>
    <row r="8" spans="2:7" ht="17" thickBot="1" x14ac:dyDescent="0.25">
      <c r="B8" s="48" t="s">
        <v>11</v>
      </c>
      <c r="C8" s="46">
        <v>0</v>
      </c>
      <c r="D8" s="46">
        <v>0.5</v>
      </c>
      <c r="E8" s="46">
        <v>1</v>
      </c>
      <c r="F8" s="46">
        <v>1.5</v>
      </c>
      <c r="G8" s="47">
        <v>2</v>
      </c>
    </row>
    <row r="9" spans="2:7" ht="17" thickBot="1" x14ac:dyDescent="0.25">
      <c r="B9" s="17" t="s">
        <v>4</v>
      </c>
      <c r="C9" s="28">
        <f>2*C8</f>
        <v>0</v>
      </c>
      <c r="D9" s="24">
        <f t="shared" ref="D9:G9" si="0">2*D8</f>
        <v>1</v>
      </c>
      <c r="E9" s="24">
        <f t="shared" si="0"/>
        <v>2</v>
      </c>
      <c r="F9" s="24">
        <f t="shared" si="0"/>
        <v>3</v>
      </c>
      <c r="G9" s="25">
        <f t="shared" si="0"/>
        <v>4</v>
      </c>
    </row>
    <row r="10" spans="2:7" ht="17" thickBot="1" x14ac:dyDescent="0.25"/>
    <row r="11" spans="2:7" ht="17" thickBot="1" x14ac:dyDescent="0.25">
      <c r="B11" s="48" t="s">
        <v>12</v>
      </c>
      <c r="C11" s="55"/>
      <c r="D11" s="56">
        <v>0.05</v>
      </c>
      <c r="E11" s="56">
        <v>5.0999999999999997E-2</v>
      </c>
      <c r="F11" s="56">
        <v>5.1999999999999998E-2</v>
      </c>
      <c r="G11" s="57">
        <v>5.0500000000000003E-2</v>
      </c>
    </row>
    <row r="12" spans="2:7" ht="17" thickBot="1" x14ac:dyDescent="0.25">
      <c r="B12" s="17" t="s">
        <v>13</v>
      </c>
      <c r="C12" s="28"/>
      <c r="D12" s="58">
        <f>1/(1 +D11/2)^D9</f>
        <v>0.97560975609756106</v>
      </c>
      <c r="E12" s="58">
        <f t="shared" ref="E12:G12" si="1">1/(1 +E11/2)^E9</f>
        <v>0.95088647580314822</v>
      </c>
      <c r="F12" s="58">
        <f t="shared" si="1"/>
        <v>0.9258868535007081</v>
      </c>
      <c r="G12" s="59">
        <f t="shared" si="1"/>
        <v>0.9050673291849034</v>
      </c>
    </row>
    <row r="13" spans="2:7" ht="17" thickBot="1" x14ac:dyDescent="0.25"/>
    <row r="14" spans="2:7" ht="17" thickBot="1" x14ac:dyDescent="0.25">
      <c r="B14" s="48" t="s">
        <v>14</v>
      </c>
      <c r="C14" s="46"/>
      <c r="D14" s="36">
        <f>$C$5*$C$6/2</f>
        <v>2</v>
      </c>
      <c r="E14" s="36">
        <f t="shared" ref="E14:F14" si="2">$C$5*$C$6/2</f>
        <v>2</v>
      </c>
      <c r="F14" s="36">
        <f t="shared" si="2"/>
        <v>2</v>
      </c>
      <c r="G14" s="37">
        <f>$C$5*$C$6/2+C5</f>
        <v>102</v>
      </c>
    </row>
    <row r="15" spans="2:7" ht="17" thickBot="1" x14ac:dyDescent="0.25">
      <c r="B15" s="48" t="s">
        <v>15</v>
      </c>
      <c r="C15" s="46"/>
      <c r="D15" s="39">
        <f>D14*D12</f>
        <v>1.9512195121951221</v>
      </c>
      <c r="E15" s="39">
        <f t="shared" ref="E15:G15" si="3">E14*E12</f>
        <v>1.9017729516062964</v>
      </c>
      <c r="F15" s="39">
        <f t="shared" si="3"/>
        <v>1.8517737070014162</v>
      </c>
      <c r="G15" s="40">
        <f t="shared" si="3"/>
        <v>92.316867576860147</v>
      </c>
    </row>
    <row r="16" spans="2:7" ht="17" thickBot="1" x14ac:dyDescent="0.25"/>
    <row r="17" spans="2:3" ht="17" thickBot="1" x14ac:dyDescent="0.25">
      <c r="B17" s="48" t="s">
        <v>17</v>
      </c>
      <c r="C17" s="40">
        <f>SUM(D15:G15)</f>
        <v>98.021633747662975</v>
      </c>
    </row>
  </sheetData>
  <mergeCells count="1">
    <mergeCell ref="B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C9C0-BF07-8F42-9CD3-E527F3B3EAF9}">
  <dimension ref="B1:W16"/>
  <sheetViews>
    <sheetView zoomScale="92" workbookViewId="0"/>
  </sheetViews>
  <sheetFormatPr baseColWidth="10" defaultRowHeight="16" x14ac:dyDescent="0.2"/>
  <cols>
    <col min="1" max="1" width="10.83203125" style="12"/>
    <col min="2" max="2" width="22.33203125" style="12" customWidth="1"/>
    <col min="3" max="16384" width="10.83203125" style="12"/>
  </cols>
  <sheetData>
    <row r="1" spans="2:23" ht="17" thickBot="1" x14ac:dyDescent="0.25"/>
    <row r="2" spans="2:23" x14ac:dyDescent="0.2">
      <c r="B2" s="64" t="s">
        <v>26</v>
      </c>
      <c r="C2" s="65"/>
      <c r="D2" s="65"/>
      <c r="E2" s="65"/>
      <c r="F2" s="65"/>
      <c r="G2" s="66"/>
    </row>
    <row r="3" spans="2:23" ht="17" thickBot="1" x14ac:dyDescent="0.25">
      <c r="B3" s="67"/>
      <c r="C3" s="68"/>
      <c r="D3" s="68"/>
      <c r="E3" s="68"/>
      <c r="F3" s="68"/>
      <c r="G3" s="69"/>
    </row>
    <row r="4" spans="2:23" ht="17" thickBot="1" x14ac:dyDescent="0.25"/>
    <row r="5" spans="2:23" ht="17" thickBot="1" x14ac:dyDescent="0.25">
      <c r="B5" s="13"/>
      <c r="C5" s="14" t="s">
        <v>7</v>
      </c>
    </row>
    <row r="6" spans="2:23" x14ac:dyDescent="0.2">
      <c r="B6" s="15" t="s">
        <v>6</v>
      </c>
      <c r="C6" s="16">
        <v>4.4999999999999998E-2</v>
      </c>
    </row>
    <row r="7" spans="2:23" ht="17" thickBot="1" x14ac:dyDescent="0.25">
      <c r="B7" s="17" t="s">
        <v>5</v>
      </c>
      <c r="C7" s="18">
        <v>3.7499999999999999E-2</v>
      </c>
    </row>
    <row r="8" spans="2:23" ht="17" customHeight="1" x14ac:dyDescent="0.2"/>
    <row r="9" spans="2:23" ht="17" thickBot="1" x14ac:dyDescent="0.25"/>
    <row r="10" spans="2:23" ht="17" thickBot="1" x14ac:dyDescent="0.25">
      <c r="B10" s="19" t="s">
        <v>4</v>
      </c>
      <c r="C10" s="20">
        <v>0</v>
      </c>
      <c r="D10" s="20">
        <v>1</v>
      </c>
      <c r="E10" s="20">
        <v>2</v>
      </c>
      <c r="F10" s="20">
        <v>3</v>
      </c>
      <c r="G10" s="20">
        <v>4</v>
      </c>
      <c r="H10" s="20">
        <v>5</v>
      </c>
      <c r="I10" s="20">
        <v>6</v>
      </c>
      <c r="J10" s="20">
        <v>7</v>
      </c>
      <c r="K10" s="20">
        <v>8</v>
      </c>
      <c r="L10" s="20">
        <v>9</v>
      </c>
      <c r="M10" s="20">
        <v>10</v>
      </c>
      <c r="N10" s="20">
        <v>11</v>
      </c>
      <c r="O10" s="20">
        <v>12</v>
      </c>
      <c r="P10" s="20">
        <v>13</v>
      </c>
      <c r="Q10" s="20">
        <v>14</v>
      </c>
      <c r="R10" s="20">
        <v>15</v>
      </c>
      <c r="S10" s="20">
        <v>16</v>
      </c>
      <c r="T10" s="20">
        <v>17</v>
      </c>
      <c r="U10" s="20">
        <v>18</v>
      </c>
      <c r="V10" s="20">
        <v>19</v>
      </c>
      <c r="W10" s="14">
        <v>20</v>
      </c>
    </row>
    <row r="11" spans="2:23" ht="17" thickBot="1" x14ac:dyDescent="0.25"/>
    <row r="12" spans="2:23" x14ac:dyDescent="0.2">
      <c r="B12" s="21" t="s">
        <v>3</v>
      </c>
      <c r="C12" s="22">
        <v>-102</v>
      </c>
      <c r="D12" s="22">
        <f t="shared" ref="D12:V12" si="0">$C$6*100/2</f>
        <v>2.25</v>
      </c>
      <c r="E12" s="22">
        <f t="shared" si="0"/>
        <v>2.25</v>
      </c>
      <c r="F12" s="22">
        <f t="shared" si="0"/>
        <v>2.25</v>
      </c>
      <c r="G12" s="22">
        <f t="shared" si="0"/>
        <v>2.25</v>
      </c>
      <c r="H12" s="22">
        <f t="shared" si="0"/>
        <v>2.25</v>
      </c>
      <c r="I12" s="22">
        <f t="shared" si="0"/>
        <v>2.25</v>
      </c>
      <c r="J12" s="22">
        <f t="shared" si="0"/>
        <v>2.25</v>
      </c>
      <c r="K12" s="22">
        <f t="shared" si="0"/>
        <v>2.25</v>
      </c>
      <c r="L12" s="22">
        <f t="shared" si="0"/>
        <v>2.25</v>
      </c>
      <c r="M12" s="22">
        <f t="shared" si="0"/>
        <v>2.25</v>
      </c>
      <c r="N12" s="22">
        <f t="shared" si="0"/>
        <v>2.25</v>
      </c>
      <c r="O12" s="22">
        <f t="shared" si="0"/>
        <v>2.25</v>
      </c>
      <c r="P12" s="22">
        <f t="shared" si="0"/>
        <v>2.25</v>
      </c>
      <c r="Q12" s="22">
        <f t="shared" si="0"/>
        <v>2.25</v>
      </c>
      <c r="R12" s="22">
        <f t="shared" si="0"/>
        <v>2.25</v>
      </c>
      <c r="S12" s="22">
        <f t="shared" si="0"/>
        <v>2.25</v>
      </c>
      <c r="T12" s="22">
        <f t="shared" si="0"/>
        <v>2.25</v>
      </c>
      <c r="U12" s="22">
        <f t="shared" si="0"/>
        <v>2.25</v>
      </c>
      <c r="V12" s="22">
        <f t="shared" si="0"/>
        <v>2.25</v>
      </c>
      <c r="W12" s="23">
        <f>$C$6*100/2 + 100</f>
        <v>102.25</v>
      </c>
    </row>
    <row r="13" spans="2:23" ht="17" thickBot="1" x14ac:dyDescent="0.25">
      <c r="B13" s="17" t="s">
        <v>2</v>
      </c>
      <c r="C13" s="24">
        <v>-98</v>
      </c>
      <c r="D13" s="24">
        <f t="shared" ref="D13:V13" si="1">$C$7*100/2</f>
        <v>1.875</v>
      </c>
      <c r="E13" s="24">
        <f t="shared" si="1"/>
        <v>1.875</v>
      </c>
      <c r="F13" s="24">
        <f t="shared" si="1"/>
        <v>1.875</v>
      </c>
      <c r="G13" s="24">
        <f t="shared" si="1"/>
        <v>1.875</v>
      </c>
      <c r="H13" s="24">
        <f t="shared" si="1"/>
        <v>1.875</v>
      </c>
      <c r="I13" s="24">
        <f t="shared" si="1"/>
        <v>1.875</v>
      </c>
      <c r="J13" s="24">
        <f t="shared" si="1"/>
        <v>1.875</v>
      </c>
      <c r="K13" s="24">
        <f t="shared" si="1"/>
        <v>1.875</v>
      </c>
      <c r="L13" s="24">
        <f t="shared" si="1"/>
        <v>1.875</v>
      </c>
      <c r="M13" s="24">
        <f t="shared" si="1"/>
        <v>1.875</v>
      </c>
      <c r="N13" s="24">
        <f t="shared" si="1"/>
        <v>1.875</v>
      </c>
      <c r="O13" s="24">
        <f t="shared" si="1"/>
        <v>1.875</v>
      </c>
      <c r="P13" s="24">
        <f t="shared" si="1"/>
        <v>1.875</v>
      </c>
      <c r="Q13" s="24">
        <f t="shared" si="1"/>
        <v>1.875</v>
      </c>
      <c r="R13" s="24">
        <f t="shared" si="1"/>
        <v>1.875</v>
      </c>
      <c r="S13" s="24">
        <f t="shared" si="1"/>
        <v>1.875</v>
      </c>
      <c r="T13" s="24">
        <f t="shared" si="1"/>
        <v>1.875</v>
      </c>
      <c r="U13" s="24">
        <f t="shared" si="1"/>
        <v>1.875</v>
      </c>
      <c r="V13" s="24">
        <f t="shared" si="1"/>
        <v>1.875</v>
      </c>
      <c r="W13" s="25">
        <f>$C$7*100/2 + 100</f>
        <v>101.875</v>
      </c>
    </row>
    <row r="14" spans="2:23" ht="17" thickBot="1" x14ac:dyDescent="0.25"/>
    <row r="15" spans="2:23" x14ac:dyDescent="0.2">
      <c r="B15" s="21" t="s">
        <v>1</v>
      </c>
      <c r="C15" s="26">
        <f>2*IRR(C12:W12)</f>
        <v>4.2523839845779232E-2</v>
      </c>
    </row>
    <row r="16" spans="2:23" ht="17" thickBot="1" x14ac:dyDescent="0.25">
      <c r="B16" s="17" t="s">
        <v>0</v>
      </c>
      <c r="C16" s="27">
        <f>IRR(C13:W13)*2</f>
        <v>3.9945626977739845E-2</v>
      </c>
    </row>
  </sheetData>
  <mergeCells count="1">
    <mergeCell ref="B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25E2-B141-4548-81D4-0782EA18D4E2}">
  <dimension ref="B1:I15"/>
  <sheetViews>
    <sheetView zoomScale="130" zoomScaleNormal="130" workbookViewId="0"/>
  </sheetViews>
  <sheetFormatPr baseColWidth="10" defaultRowHeight="16" x14ac:dyDescent="0.2"/>
  <cols>
    <col min="1" max="1" width="10.83203125" style="1"/>
    <col min="2" max="2" width="17.83203125" style="1" customWidth="1"/>
    <col min="3" max="16384" width="10.83203125" style="1"/>
  </cols>
  <sheetData>
    <row r="1" spans="2:9" ht="17" thickBot="1" x14ac:dyDescent="0.25"/>
    <row r="2" spans="2:9" x14ac:dyDescent="0.2">
      <c r="B2" s="70" t="s">
        <v>27</v>
      </c>
      <c r="C2" s="71"/>
      <c r="D2" s="71"/>
      <c r="E2" s="71"/>
      <c r="F2" s="71"/>
      <c r="G2" s="71"/>
      <c r="H2" s="71"/>
      <c r="I2" s="72"/>
    </row>
    <row r="3" spans="2:9" ht="17" thickBot="1" x14ac:dyDescent="0.25">
      <c r="B3" s="73"/>
      <c r="C3" s="74"/>
      <c r="D3" s="74"/>
      <c r="E3" s="74"/>
      <c r="F3" s="74"/>
      <c r="G3" s="74"/>
      <c r="H3" s="74"/>
      <c r="I3" s="75"/>
    </row>
    <row r="4" spans="2:9" ht="17" thickBot="1" x14ac:dyDescent="0.25"/>
    <row r="5" spans="2:9" ht="17" thickBot="1" x14ac:dyDescent="0.25">
      <c r="B5" s="3" t="s">
        <v>9</v>
      </c>
      <c r="C5" s="4">
        <v>2.75E-2</v>
      </c>
    </row>
    <row r="6" spans="2:9" ht="17" thickBot="1" x14ac:dyDescent="0.25"/>
    <row r="7" spans="2:9" ht="17" thickBot="1" x14ac:dyDescent="0.25">
      <c r="B7" s="3" t="s">
        <v>4</v>
      </c>
      <c r="C7" s="5">
        <v>0</v>
      </c>
      <c r="D7" s="5">
        <v>1</v>
      </c>
      <c r="E7" s="5">
        <v>2</v>
      </c>
      <c r="F7" s="5">
        <v>3</v>
      </c>
      <c r="G7" s="5">
        <v>4</v>
      </c>
      <c r="H7" s="5">
        <v>5</v>
      </c>
      <c r="I7" s="6">
        <v>6</v>
      </c>
    </row>
    <row r="8" spans="2:9" ht="17" thickBot="1" x14ac:dyDescent="0.25">
      <c r="B8" s="7" t="s">
        <v>8</v>
      </c>
      <c r="C8" s="8">
        <v>-98.307000000000002</v>
      </c>
      <c r="D8" s="8">
        <f>$C$5*100/2</f>
        <v>1.375</v>
      </c>
      <c r="E8" s="8">
        <f>$C$5*100/2</f>
        <v>1.375</v>
      </c>
      <c r="F8" s="8">
        <f>$C$5*100/2</f>
        <v>1.375</v>
      </c>
      <c r="G8" s="8">
        <f>$C$5*100/2</f>
        <v>1.375</v>
      </c>
      <c r="H8" s="8">
        <f>$C$5*100/2</f>
        <v>1.375</v>
      </c>
      <c r="I8" s="9">
        <f>$C$5*100/2+100</f>
        <v>101.375</v>
      </c>
    </row>
    <row r="9" spans="2:9" ht="17" thickBot="1" x14ac:dyDescent="0.25"/>
    <row r="10" spans="2:9" ht="17" thickBot="1" x14ac:dyDescent="0.25">
      <c r="B10" s="3" t="s">
        <v>20</v>
      </c>
      <c r="C10" s="60">
        <f>2*IRR(C8:I8)</f>
        <v>3.3478534875807764E-2</v>
      </c>
    </row>
    <row r="14" spans="2:9" x14ac:dyDescent="0.2">
      <c r="C14" s="10"/>
    </row>
    <row r="15" spans="2:9" x14ac:dyDescent="0.2">
      <c r="C15" s="11"/>
    </row>
  </sheetData>
  <mergeCells count="1">
    <mergeCell ref="B2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808C-5828-B540-98C9-F07BFEFECB99}">
  <dimension ref="B1:G19"/>
  <sheetViews>
    <sheetView topLeftCell="A2" zoomScale="142" workbookViewId="0">
      <selection activeCell="C19" sqref="C19"/>
    </sheetView>
  </sheetViews>
  <sheetFormatPr baseColWidth="10" defaultRowHeight="16" x14ac:dyDescent="0.2"/>
  <cols>
    <col min="1" max="1" width="10.83203125" style="12"/>
    <col min="2" max="2" width="13.5" style="12" customWidth="1"/>
    <col min="3" max="16384" width="10.83203125" style="12"/>
  </cols>
  <sheetData>
    <row r="1" spans="2:7" ht="17" thickBot="1" x14ac:dyDescent="0.25"/>
    <row r="2" spans="2:7" x14ac:dyDescent="0.2">
      <c r="B2" s="64" t="s">
        <v>27</v>
      </c>
      <c r="C2" s="65"/>
      <c r="D2" s="65"/>
      <c r="E2" s="65"/>
      <c r="F2" s="65"/>
      <c r="G2" s="66"/>
    </row>
    <row r="3" spans="2:7" ht="17" thickBot="1" x14ac:dyDescent="0.25">
      <c r="B3" s="67"/>
      <c r="C3" s="68"/>
      <c r="D3" s="68"/>
      <c r="E3" s="68"/>
      <c r="F3" s="68"/>
      <c r="G3" s="69"/>
    </row>
    <row r="4" spans="2:7" ht="17" thickBot="1" x14ac:dyDescent="0.25"/>
    <row r="5" spans="2:7" ht="17" thickBot="1" x14ac:dyDescent="0.25">
      <c r="B5" s="78" t="s">
        <v>4</v>
      </c>
      <c r="C5" s="79"/>
      <c r="D5" s="20">
        <v>1</v>
      </c>
      <c r="E5" s="20">
        <v>2</v>
      </c>
      <c r="F5" s="20">
        <v>3</v>
      </c>
      <c r="G5" s="14">
        <v>4</v>
      </c>
    </row>
    <row r="6" spans="2:7" ht="17" thickBot="1" x14ac:dyDescent="0.25">
      <c r="B6" s="80" t="s">
        <v>12</v>
      </c>
      <c r="C6" s="81"/>
      <c r="D6" s="30">
        <v>0.05</v>
      </c>
      <c r="E6" s="31">
        <v>5.5E-2</v>
      </c>
      <c r="F6" s="31">
        <v>4.8000000000000001E-2</v>
      </c>
      <c r="G6" s="18">
        <v>4.4999999999999998E-2</v>
      </c>
    </row>
    <row r="7" spans="2:7" ht="17" thickBot="1" x14ac:dyDescent="0.25">
      <c r="D7" s="32"/>
      <c r="E7" s="33"/>
      <c r="F7" s="33"/>
      <c r="G7" s="33"/>
    </row>
    <row r="8" spans="2:7" ht="17" thickBot="1" x14ac:dyDescent="0.25">
      <c r="B8" s="76" t="s">
        <v>16</v>
      </c>
      <c r="C8" s="77"/>
      <c r="D8" s="35">
        <v>0.08</v>
      </c>
    </row>
    <row r="9" spans="2:7" ht="17" thickBot="1" x14ac:dyDescent="0.25">
      <c r="B9" s="48" t="s">
        <v>14</v>
      </c>
      <c r="C9" s="38">
        <f>-C11</f>
        <v>-106.56019055160552</v>
      </c>
      <c r="D9" s="36">
        <f>$D$8*100/2</f>
        <v>4</v>
      </c>
      <c r="E9" s="36">
        <f>$D$8*100/2</f>
        <v>4</v>
      </c>
      <c r="F9" s="36">
        <f>$D$8*100/2</f>
        <v>4</v>
      </c>
      <c r="G9" s="37">
        <f>$D$8*100/2+100</f>
        <v>104</v>
      </c>
    </row>
    <row r="10" spans="2:7" ht="17" thickBot="1" x14ac:dyDescent="0.25">
      <c r="B10" s="48" t="s">
        <v>18</v>
      </c>
      <c r="C10" s="42"/>
      <c r="D10" s="38">
        <f>D9/( 1+ D6/2)^D5</f>
        <v>3.9024390243902443</v>
      </c>
      <c r="E10" s="39">
        <f t="shared" ref="E10:G10" si="0">E9/( 1+ E6/2)^E5</f>
        <v>3.7887533225590655</v>
      </c>
      <c r="F10" s="39">
        <f t="shared" si="0"/>
        <v>3.7252902984619136</v>
      </c>
      <c r="G10" s="40">
        <f t="shared" si="0"/>
        <v>95.143707906194294</v>
      </c>
    </row>
    <row r="11" spans="2:7" ht="17" thickBot="1" x14ac:dyDescent="0.25">
      <c r="B11" s="48" t="s">
        <v>19</v>
      </c>
      <c r="C11" s="43">
        <f>SUM(D10:G10)</f>
        <v>106.56019055160552</v>
      </c>
    </row>
    <row r="12" spans="2:7" ht="17" thickBot="1" x14ac:dyDescent="0.25">
      <c r="B12" s="17" t="s">
        <v>20</v>
      </c>
      <c r="C12" s="41">
        <f>IRR(C9:G9)*2</f>
        <v>4.5320055769404455E-2</v>
      </c>
    </row>
    <row r="14" spans="2:7" ht="17" thickBot="1" x14ac:dyDescent="0.25"/>
    <row r="15" spans="2:7" ht="17" thickBot="1" x14ac:dyDescent="0.25">
      <c r="B15" s="76" t="s">
        <v>21</v>
      </c>
      <c r="C15" s="82"/>
      <c r="D15" s="44">
        <v>0.06</v>
      </c>
    </row>
    <row r="16" spans="2:7" ht="17" thickBot="1" x14ac:dyDescent="0.25">
      <c r="B16" s="48" t="s">
        <v>14</v>
      </c>
      <c r="C16" s="39">
        <f>-C18</f>
        <v>-102.79122654500084</v>
      </c>
      <c r="D16" s="36">
        <f>$D$15*100/2</f>
        <v>3</v>
      </c>
      <c r="E16" s="36">
        <f t="shared" ref="E16:F16" si="1">$D$15*100/2</f>
        <v>3</v>
      </c>
      <c r="F16" s="36">
        <f t="shared" si="1"/>
        <v>3</v>
      </c>
      <c r="G16" s="37">
        <f>$D$15*100/2+100</f>
        <v>103</v>
      </c>
    </row>
    <row r="17" spans="2:7" ht="17" thickBot="1" x14ac:dyDescent="0.25">
      <c r="B17" s="48" t="s">
        <v>18</v>
      </c>
      <c r="C17" s="42"/>
      <c r="D17" s="38">
        <f>D16/(1+D6/2)^D5</f>
        <v>2.9268292682926833</v>
      </c>
      <c r="E17" s="39">
        <f t="shared" ref="E17:G17" si="2">E16/(1+E6/2)^E5</f>
        <v>2.8415649919192991</v>
      </c>
      <c r="F17" s="39">
        <f t="shared" si="2"/>
        <v>2.7939677238464355</v>
      </c>
      <c r="G17" s="40">
        <f t="shared" si="2"/>
        <v>94.228864560942426</v>
      </c>
    </row>
    <row r="18" spans="2:7" ht="17" thickBot="1" x14ac:dyDescent="0.25">
      <c r="B18" s="48" t="s">
        <v>17</v>
      </c>
      <c r="C18" s="49">
        <f>SUM(D17:G17)</f>
        <v>102.79122654500084</v>
      </c>
    </row>
    <row r="19" spans="2:7" ht="17" thickBot="1" x14ac:dyDescent="0.25">
      <c r="B19" s="17" t="s">
        <v>20</v>
      </c>
      <c r="C19" s="50">
        <f>IRR(C16:G16)*2</f>
        <v>4.5245720591355898E-2</v>
      </c>
    </row>
  </sheetData>
  <mergeCells count="5">
    <mergeCell ref="B2:G3"/>
    <mergeCell ref="B8:C8"/>
    <mergeCell ref="B5:C5"/>
    <mergeCell ref="B6:C6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Price &amp; Spot Rate (13,15)</vt:lpstr>
      <vt:lpstr>02 Bond Pricing (19)</vt:lpstr>
      <vt:lpstr>03 YTM &amp; IRR (22)</vt:lpstr>
      <vt:lpstr>04 YTM (24)</vt:lpstr>
      <vt:lpstr>05 YTM (25)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Sangmin Oh</cp:lastModifiedBy>
  <dcterms:created xsi:type="dcterms:W3CDTF">2024-01-23T19:44:52Z</dcterms:created>
  <dcterms:modified xsi:type="dcterms:W3CDTF">2025-02-07T14:17:39Z</dcterms:modified>
</cp:coreProperties>
</file>