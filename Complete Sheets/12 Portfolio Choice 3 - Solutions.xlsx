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2735/Dropbox/8. FACULTY/Teaching : Coursework/02 2025S CMI/COURSE Lecture Slides/12 Portfolio Choice 3 - Portfolio Optimization (Part 2)/"/>
    </mc:Choice>
  </mc:AlternateContent>
  <xr:revisionPtr revIDLastSave="0" documentId="13_ncr:1_{96B84E9B-2FE7-4B49-BF8B-2A8A2E3D1F4D}" xr6:coauthVersionLast="47" xr6:coauthVersionMax="47" xr10:uidLastSave="{00000000-0000-0000-0000-000000000000}"/>
  <bookViews>
    <workbookView xWindow="0" yWindow="500" windowWidth="38400" windowHeight="19920" xr2:uid="{2F3657D0-1EA3-504C-B0CA-B9A7403A2960}"/>
  </bookViews>
  <sheets>
    <sheet name="Two Risky Assets" sheetId="2" r:id="rId1"/>
    <sheet name="Three Risky Assets" sheetId="1" r:id="rId2"/>
  </sheets>
  <definedNames>
    <definedName name="solver_adj" localSheetId="1" hidden="1">'Three Risky Assets'!$C$15:$C$16</definedName>
    <definedName name="solver_adj" localSheetId="0" hidden="1">'Two Risky Assets'!$G$18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itr" localSheetId="1" hidden="1">2147483647</definedName>
    <definedName name="solver_itr" localSheetId="0" hidden="1">2147483647</definedName>
    <definedName name="solver_lin" localSheetId="1" hidden="1">2</definedName>
    <definedName name="solver_lin" localSheetId="0" hidden="1">2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2</definedName>
    <definedName name="solver_neg" localSheetId="0" hidden="1">2</definedName>
    <definedName name="solver_nod" localSheetId="1" hidden="1">2147483647</definedName>
    <definedName name="solver_nod" localSheetId="0" hidden="1">2147483647</definedName>
    <definedName name="solver_num" localSheetId="1" hidden="1">0</definedName>
    <definedName name="solver_num" localSheetId="0" hidden="1">0</definedName>
    <definedName name="solver_nwt" localSheetId="1" hidden="1">1</definedName>
    <definedName name="solver_opt" localSheetId="1" hidden="1">'Three Risky Assets'!$C$21</definedName>
    <definedName name="solver_opt" localSheetId="0" hidden="1">'Two Risky Assets'!$G$21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2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17" i="1"/>
  <c r="C12" i="2" l="1"/>
  <c r="C15" i="2" s="1"/>
  <c r="G20" i="2" s="1"/>
  <c r="C14" i="2" l="1"/>
  <c r="G19" i="2" s="1"/>
  <c r="G21" i="2" l="1"/>
  <c r="C20" i="2"/>
  <c r="C16" i="2"/>
  <c r="C25" i="2" l="1"/>
  <c r="C24" i="2"/>
  <c r="C23" i="2"/>
  <c r="C19" i="1" l="1"/>
  <c r="G23" i="1" l="1"/>
  <c r="C20" i="1"/>
  <c r="G24" i="1" s="1"/>
  <c r="C21" i="1" l="1"/>
  <c r="G26" i="1"/>
  <c r="C28" i="1" l="1"/>
  <c r="C29" i="1"/>
  <c r="C31" i="1"/>
  <c r="C30" i="1"/>
</calcChain>
</file>

<file path=xl/sharedStrings.xml><?xml version="1.0" encoding="utf-8"?>
<sst xmlns="http://schemas.openxmlformats.org/spreadsheetml/2006/main" count="65" uniqueCount="30">
  <si>
    <t>Risk-free</t>
  </si>
  <si>
    <t>Asset 3</t>
  </si>
  <si>
    <t>Asset 2</t>
  </si>
  <si>
    <t>Asset 1</t>
  </si>
  <si>
    <t>Weight</t>
  </si>
  <si>
    <t>Overall</t>
  </si>
  <si>
    <t>Utility</t>
  </si>
  <si>
    <t>Weight on MVE</t>
  </si>
  <si>
    <t>Volatility of complete portfolio</t>
  </si>
  <si>
    <t>Risk Aversion</t>
  </si>
  <si>
    <t>Expected return of complete portfolio</t>
  </si>
  <si>
    <t>Optimal Complete Portfolio</t>
  </si>
  <si>
    <t>Formula based on maximizing utility: U = E(R) - A/2 * Var(R)</t>
  </si>
  <si>
    <t>Sharpe Ratio</t>
  </si>
  <si>
    <t>Volatility</t>
  </si>
  <si>
    <t>Expected Return</t>
  </si>
  <si>
    <t>MVE Portfolio</t>
  </si>
  <si>
    <t>Correlations</t>
  </si>
  <si>
    <t>Risk-free Asset</t>
  </si>
  <si>
    <t>Exp Ret</t>
  </si>
  <si>
    <t>Inputs</t>
  </si>
  <si>
    <t>Optimal Portfolio with Three Risky Assets</t>
  </si>
  <si>
    <t>In-class Exercise: Optimal Risky Portfolio</t>
  </si>
  <si>
    <t>E[R]</t>
  </si>
  <si>
    <t>US</t>
  </si>
  <si>
    <t>Europe</t>
  </si>
  <si>
    <t>T-bills</t>
  </si>
  <si>
    <t>US-Europe Correlation</t>
  </si>
  <si>
    <t>Asset</t>
  </si>
  <si>
    <t xml:space="preserve"> (set based on investor preference)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</si>
</sst>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%"/>
    <numFmt numFmtId="166" formatCode="0.0"/>
    <numFmt numFmtId="167" formatCode="0.0%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Tahoma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24"/>
      <color theme="1"/>
      <name val="Tahoma"/>
      <family val="2"/>
    </font>
    <font>
      <sz val="14"/>
      <color theme="1"/>
      <name val="Tahoma"/>
      <family val="2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4" fillId="0" borderId="0" xfId="2" applyFont="1"/>
    <xf numFmtId="0" fontId="5" fillId="0" borderId="0" xfId="2" applyFont="1"/>
    <xf numFmtId="10" fontId="5" fillId="0" borderId="11" xfId="3" applyNumberFormat="1" applyFont="1" applyFill="1" applyBorder="1" applyAlignment="1">
      <alignment horizontal="center"/>
    </xf>
    <xf numFmtId="164" fontId="5" fillId="0" borderId="3" xfId="2" applyNumberFormat="1" applyFont="1" applyBorder="1" applyAlignment="1">
      <alignment horizontal="center"/>
    </xf>
    <xf numFmtId="10" fontId="5" fillId="0" borderId="12" xfId="3" applyNumberFormat="1" applyFont="1" applyFill="1" applyBorder="1" applyAlignment="1">
      <alignment horizontal="center"/>
    </xf>
    <xf numFmtId="164" fontId="5" fillId="0" borderId="1" xfId="2" applyNumberFormat="1" applyFont="1" applyBorder="1" applyAlignment="1">
      <alignment horizontal="center"/>
    </xf>
    <xf numFmtId="10" fontId="5" fillId="0" borderId="10" xfId="3" applyNumberFormat="1" applyFont="1" applyFill="1" applyBorder="1" applyAlignment="1">
      <alignment horizontal="center"/>
    </xf>
    <xf numFmtId="0" fontId="5" fillId="2" borderId="0" xfId="2" applyFont="1" applyFill="1" applyAlignment="1">
      <alignment horizontal="right"/>
    </xf>
    <xf numFmtId="164" fontId="5" fillId="0" borderId="1" xfId="2" applyNumberFormat="1" applyFont="1" applyBorder="1" applyAlignment="1">
      <alignment horizontal="center" vertical="center" wrapText="1" readingOrder="1"/>
    </xf>
    <xf numFmtId="0" fontId="5" fillId="0" borderId="0" xfId="2" applyFont="1" applyAlignment="1">
      <alignment horizontal="right"/>
    </xf>
    <xf numFmtId="10" fontId="4" fillId="0" borderId="3" xfId="2" applyNumberFormat="1" applyFont="1" applyBorder="1"/>
    <xf numFmtId="10" fontId="4" fillId="0" borderId="1" xfId="2" applyNumberFormat="1" applyFont="1" applyBorder="1"/>
    <xf numFmtId="10" fontId="4" fillId="0" borderId="5" xfId="2" applyNumberFormat="1" applyFont="1" applyBorder="1"/>
    <xf numFmtId="164" fontId="4" fillId="0" borderId="1" xfId="2" applyNumberFormat="1" applyFont="1" applyBorder="1"/>
    <xf numFmtId="0" fontId="4" fillId="0" borderId="10" xfId="2" applyFont="1" applyBorder="1"/>
    <xf numFmtId="0" fontId="4" fillId="0" borderId="15" xfId="2" applyFont="1" applyBorder="1"/>
    <xf numFmtId="164" fontId="5" fillId="0" borderId="3" xfId="2" applyNumberFormat="1" applyFont="1" applyBorder="1" applyAlignment="1">
      <alignment horizontal="right" vertical="center" wrapText="1" readingOrder="1"/>
    </xf>
    <xf numFmtId="0" fontId="4" fillId="0" borderId="11" xfId="2" applyFont="1" applyBorder="1"/>
    <xf numFmtId="0" fontId="4" fillId="0" borderId="3" xfId="2" applyFont="1" applyBorder="1"/>
    <xf numFmtId="164" fontId="4" fillId="0" borderId="0" xfId="2" applyNumberFormat="1" applyFont="1"/>
    <xf numFmtId="0" fontId="4" fillId="0" borderId="12" xfId="2" applyFont="1" applyBorder="1"/>
    <xf numFmtId="10" fontId="4" fillId="0" borderId="0" xfId="2" applyNumberFormat="1" applyFont="1"/>
    <xf numFmtId="10" fontId="4" fillId="3" borderId="3" xfId="2" applyNumberFormat="1" applyFont="1" applyFill="1" applyBorder="1"/>
    <xf numFmtId="10" fontId="4" fillId="3" borderId="1" xfId="2" applyNumberFormat="1" applyFont="1" applyFill="1" applyBorder="1"/>
    <xf numFmtId="0" fontId="5" fillId="0" borderId="9" xfId="2" applyFont="1" applyBorder="1" applyAlignment="1">
      <alignment horizontal="center" vertical="center" wrapText="1" readingOrder="1"/>
    </xf>
    <xf numFmtId="0" fontId="5" fillId="0" borderId="11" xfId="2" applyFont="1" applyBorder="1" applyAlignment="1">
      <alignment horizontal="center" readingOrder="1"/>
    </xf>
    <xf numFmtId="0" fontId="5" fillId="0" borderId="12" xfId="2" applyFont="1" applyBorder="1" applyAlignment="1">
      <alignment horizontal="center" readingOrder="1"/>
    </xf>
    <xf numFmtId="0" fontId="5" fillId="0" borderId="9" xfId="2" applyFont="1" applyBorder="1" applyAlignment="1">
      <alignment horizontal="center"/>
    </xf>
    <xf numFmtId="0" fontId="5" fillId="0" borderId="12" xfId="2" applyFont="1" applyBorder="1" applyAlignment="1">
      <alignment horizontal="center" vertical="center" wrapText="1" readingOrder="1"/>
    </xf>
    <xf numFmtId="0" fontId="4" fillId="0" borderId="13" xfId="2" applyFont="1" applyBorder="1"/>
    <xf numFmtId="0" fontId="4" fillId="0" borderId="4" xfId="2" applyFont="1" applyBorder="1"/>
    <xf numFmtId="0" fontId="4" fillId="0" borderId="2" xfId="2" applyFont="1" applyBorder="1"/>
    <xf numFmtId="0" fontId="4" fillId="0" borderId="6" xfId="2" applyFont="1" applyBorder="1"/>
    <xf numFmtId="0" fontId="5" fillId="0" borderId="10" xfId="2" applyFont="1" applyBorder="1" applyAlignment="1">
      <alignment horizontal="center" wrapText="1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horizontal="left" vertical="center" wrapText="1" readingOrder="1"/>
    </xf>
    <xf numFmtId="0" fontId="8" fillId="0" borderId="8" xfId="0" applyFont="1" applyBorder="1" applyAlignment="1">
      <alignment horizontal="right" vertical="center" wrapText="1" readingOrder="1"/>
    </xf>
    <xf numFmtId="0" fontId="8" fillId="0" borderId="5" xfId="0" applyFont="1" applyBorder="1" applyAlignment="1">
      <alignment horizontal="right"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10" fontId="8" fillId="0" borderId="0" xfId="0" applyNumberFormat="1" applyFont="1" applyAlignment="1">
      <alignment horizontal="right" vertical="center" wrapText="1" readingOrder="1"/>
    </xf>
    <xf numFmtId="10" fontId="8" fillId="0" borderId="3" xfId="0" applyNumberFormat="1" applyFont="1" applyBorder="1" applyAlignment="1">
      <alignment horizontal="right" vertical="center" wrapText="1" readingOrder="1"/>
    </xf>
    <xf numFmtId="0" fontId="8" fillId="0" borderId="4" xfId="0" applyFont="1" applyBorder="1" applyAlignment="1">
      <alignment horizontal="left" vertical="center"/>
    </xf>
    <xf numFmtId="10" fontId="8" fillId="0" borderId="0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 wrapText="1" readingOrder="1"/>
    </xf>
    <xf numFmtId="164" fontId="8" fillId="0" borderId="3" xfId="0" applyNumberFormat="1" applyFont="1" applyBorder="1" applyAlignment="1">
      <alignment horizontal="right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164" fontId="8" fillId="0" borderId="7" xfId="0" applyNumberFormat="1" applyFont="1" applyBorder="1" applyAlignment="1">
      <alignment horizontal="right" vertical="center" wrapText="1" readingOrder="1"/>
    </xf>
    <xf numFmtId="164" fontId="8" fillId="0" borderId="1" xfId="0" applyNumberFormat="1" applyFont="1" applyBorder="1" applyAlignment="1">
      <alignment horizontal="right" vertical="center" wrapText="1" readingOrder="1"/>
    </xf>
    <xf numFmtId="0" fontId="8" fillId="0" borderId="5" xfId="0" applyFont="1" applyBorder="1" applyAlignment="1">
      <alignment horizontal="right" vertical="center"/>
    </xf>
    <xf numFmtId="0" fontId="8" fillId="0" borderId="4" xfId="0" applyFont="1" applyBorder="1" applyAlignment="1">
      <alignment vertical="center"/>
    </xf>
    <xf numFmtId="0" fontId="8" fillId="0" borderId="3" xfId="0" applyFont="1" applyBorder="1" applyAlignment="1">
      <alignment horizontal="right" vertical="center"/>
    </xf>
    <xf numFmtId="10" fontId="8" fillId="0" borderId="3" xfId="1" applyNumberFormat="1" applyFont="1" applyFill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164" fontId="8" fillId="0" borderId="1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6" fontId="8" fillId="0" borderId="3" xfId="0" applyNumberFormat="1" applyFont="1" applyBorder="1" applyAlignment="1">
      <alignment horizontal="right" vertical="center" readingOrder="1"/>
    </xf>
    <xf numFmtId="0" fontId="4" fillId="0" borderId="2" xfId="0" applyFont="1" applyBorder="1" applyAlignment="1">
      <alignment vertical="center"/>
    </xf>
    <xf numFmtId="165" fontId="4" fillId="3" borderId="3" xfId="0" applyNumberFormat="1" applyFont="1" applyFill="1" applyBorder="1" applyAlignment="1">
      <alignment vertical="center"/>
    </xf>
    <xf numFmtId="10" fontId="4" fillId="3" borderId="3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0" fontId="8" fillId="3" borderId="1" xfId="1" applyNumberFormat="1" applyFont="1" applyFill="1" applyBorder="1" applyAlignment="1">
      <alignment vertical="center"/>
    </xf>
    <xf numFmtId="10" fontId="8" fillId="3" borderId="3" xfId="0" applyNumberFormat="1" applyFont="1" applyFill="1" applyBorder="1" applyAlignment="1">
      <alignment horizontal="right" vertical="center"/>
    </xf>
    <xf numFmtId="10" fontId="8" fillId="3" borderId="1" xfId="0" applyNumberFormat="1" applyFont="1" applyFill="1" applyBorder="1" applyAlignment="1">
      <alignment horizontal="right" vertical="center"/>
    </xf>
    <xf numFmtId="167" fontId="8" fillId="3" borderId="3" xfId="1" applyNumberFormat="1" applyFont="1" applyFill="1" applyBorder="1" applyAlignment="1">
      <alignment horizontal="right" vertical="center"/>
    </xf>
    <xf numFmtId="0" fontId="3" fillId="0" borderId="0" xfId="2" applyFont="1" applyAlignment="1">
      <alignment horizontal="center" vertical="center"/>
    </xf>
    <xf numFmtId="0" fontId="4" fillId="0" borderId="13" xfId="2" applyFont="1" applyBorder="1" applyAlignment="1">
      <alignment horizontal="center"/>
    </xf>
    <xf numFmtId="0" fontId="4" fillId="0" borderId="10" xfId="2" applyFont="1" applyBorder="1" applyAlignment="1">
      <alignment horizontal="center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4" xfId="0" quotePrefix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5" fontId="4" fillId="3" borderId="15" xfId="2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0" fontId="4" fillId="3" borderId="11" xfId="2" applyNumberFormat="1" applyFont="1" applyFill="1" applyBorder="1" applyAlignment="1">
      <alignment horizontal="center"/>
    </xf>
    <xf numFmtId="164" fontId="4" fillId="3" borderId="12" xfId="2" applyNumberFormat="1" applyFont="1" applyFill="1" applyBorder="1" applyAlignment="1">
      <alignment horizontal="center"/>
    </xf>
  </cellXfs>
  <cellStyles count="4">
    <cellStyle name="Normal" xfId="0" builtinId="0"/>
    <cellStyle name="Normal 2" xfId="2" xr:uid="{BE3E18FD-8026-4F46-88F7-FAD1003EF204}"/>
    <cellStyle name="Percent" xfId="1" builtinId="5"/>
    <cellStyle name="Percent 2" xfId="3" xr:uid="{7309867D-091F-354C-AA42-ABFCC739F9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Portfolio</a:t>
            </a:r>
            <a:r>
              <a:rPr lang="en-US" baseline="0"/>
              <a:t> </a:t>
            </a:r>
            <a:r>
              <a:rPr lang="en-US"/>
              <a:t>Weights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'Three Risky Assets'!$C$27</c:f>
              <c:strCache>
                <c:ptCount val="1"/>
                <c:pt idx="0">
                  <c:v>Weight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CE-4F4B-A1AF-20E310F9B5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CE-4F4B-A1AF-20E310F9B5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CE-4F4B-A1AF-20E310F9B5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CE-4F4B-A1AF-20E310F9B50E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BCE-4F4B-A1AF-20E310F9B50E}"/>
              </c:ext>
            </c:extLst>
          </c:dPt>
          <c:dLbls>
            <c:dLbl>
              <c:idx val="0"/>
              <c:layout>
                <c:manualLayout>
                  <c:x val="0.12018569553805775"/>
                  <c:y val="2.97499270924467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CE-4F4B-A1AF-20E310F9B50E}"/>
                </c:ext>
              </c:extLst>
            </c:dLbl>
            <c:dLbl>
              <c:idx val="3"/>
              <c:layout>
                <c:manualLayout>
                  <c:x val="-8.5406933508311467E-2"/>
                  <c:y val="-0.12930409740449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CE-4F4B-A1AF-20E310F9B50E}"/>
                </c:ext>
              </c:extLst>
            </c:dLbl>
            <c:dLbl>
              <c:idx val="4"/>
              <c:layout>
                <c:manualLayout>
                  <c:x val="-0.16780818022747157"/>
                  <c:y val="2.974992709244677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MVE </a:t>
                    </a:r>
                    <a:fld id="{C32C7B9E-5AD6-4D46-AF64-9875C1F8571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BCE-4F4B-A1AF-20E310F9B5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('Three Risky Assets'!$B$31,'Three Risky Assets'!$B$28:$B$30)</c:f>
              <c:strCache>
                <c:ptCount val="4"/>
                <c:pt idx="0">
                  <c:v>Risk-free</c:v>
                </c:pt>
                <c:pt idx="1">
                  <c:v>Asset 1</c:v>
                </c:pt>
                <c:pt idx="2">
                  <c:v>Asset 2</c:v>
                </c:pt>
                <c:pt idx="3">
                  <c:v>Asset 3</c:v>
                </c:pt>
              </c:strCache>
            </c:strRef>
          </c:cat>
          <c:val>
            <c:numRef>
              <c:f>('Three Risky Assets'!$C$31,'Three Risky Assets'!$C$28:$C$30)</c:f>
              <c:numCache>
                <c:formatCode>0.00%</c:formatCode>
                <c:ptCount val="4"/>
                <c:pt idx="0">
                  <c:v>0.11331602061825219</c:v>
                </c:pt>
                <c:pt idx="1">
                  <c:v>0.45411242710784677</c:v>
                </c:pt>
                <c:pt idx="2">
                  <c:v>0.32821125940083051</c:v>
                </c:pt>
                <c:pt idx="3">
                  <c:v>0.10436029287307054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CE-4F4B-A1AF-20E310F9B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3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93662</xdr:colOff>
      <xdr:row>4</xdr:row>
      <xdr:rowOff>233362</xdr:rowOff>
    </xdr:from>
    <xdr:to>
      <xdr:col>6</xdr:col>
      <xdr:colOff>2366962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5E2F7-E3A4-0E42-88D1-A73D0E4F2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8F22-FFC0-C143-9056-004BDDD84EF5}">
  <dimension ref="B1:G25"/>
  <sheetViews>
    <sheetView tabSelected="1" workbookViewId="0">
      <selection activeCell="K17" sqref="K17"/>
    </sheetView>
  </sheetViews>
  <sheetFormatPr baseColWidth="10" defaultRowHeight="19" x14ac:dyDescent="0.25"/>
  <cols>
    <col min="1" max="1" width="6.1640625" style="1" customWidth="1"/>
    <col min="2" max="2" width="17.33203125" style="1" customWidth="1"/>
    <col min="3" max="3" width="18.6640625" style="1" customWidth="1"/>
    <col min="4" max="4" width="10.83203125" style="1"/>
    <col min="5" max="5" width="28.33203125" style="1" customWidth="1"/>
    <col min="6" max="6" width="35.33203125" style="1" customWidth="1"/>
    <col min="7" max="7" width="25.33203125" style="1" customWidth="1"/>
    <col min="8" max="16384" width="10.83203125" style="1"/>
  </cols>
  <sheetData>
    <row r="1" spans="2:6" x14ac:dyDescent="0.25">
      <c r="B1" s="71" t="s">
        <v>22</v>
      </c>
      <c r="C1" s="71"/>
      <c r="D1" s="71"/>
      <c r="E1" s="71"/>
      <c r="F1" s="71"/>
    </row>
    <row r="2" spans="2:6" x14ac:dyDescent="0.25">
      <c r="B2" s="71"/>
      <c r="C2" s="71"/>
      <c r="D2" s="71"/>
      <c r="E2" s="71"/>
      <c r="F2" s="71"/>
    </row>
    <row r="3" spans="2:6" ht="20" thickBot="1" x14ac:dyDescent="0.3">
      <c r="B3" s="2"/>
      <c r="C3" s="2"/>
      <c r="D3" s="2"/>
      <c r="E3" s="2"/>
    </row>
    <row r="4" spans="2:6" ht="21" thickBot="1" x14ac:dyDescent="0.3">
      <c r="B4" s="25" t="s">
        <v>20</v>
      </c>
      <c r="C4" s="25" t="s">
        <v>23</v>
      </c>
      <c r="D4" s="25" t="s">
        <v>14</v>
      </c>
      <c r="E4" s="34" t="s">
        <v>13</v>
      </c>
    </row>
    <row r="5" spans="2:6" x14ac:dyDescent="0.25">
      <c r="B5" s="26" t="s">
        <v>24</v>
      </c>
      <c r="C5" s="3">
        <v>5.2283999999999997E-2</v>
      </c>
      <c r="D5" s="3">
        <v>0.17767406208748746</v>
      </c>
      <c r="E5" s="4">
        <v>0.29370634850631361</v>
      </c>
    </row>
    <row r="6" spans="2:6" ht="20" thickBot="1" x14ac:dyDescent="0.3">
      <c r="B6" s="27" t="s">
        <v>25</v>
      </c>
      <c r="C6" s="5">
        <v>6.2600000000000003E-2</v>
      </c>
      <c r="D6" s="5">
        <v>0.21159962545093061</v>
      </c>
      <c r="E6" s="6">
        <v>0.29536914286501692</v>
      </c>
    </row>
    <row r="7" spans="2:6" ht="20" thickBot="1" x14ac:dyDescent="0.3">
      <c r="B7" s="28" t="s">
        <v>26</v>
      </c>
      <c r="C7" s="7">
        <v>1E-4</v>
      </c>
      <c r="D7" s="8"/>
      <c r="E7" s="2"/>
    </row>
    <row r="8" spans="2:6" ht="41" thickBot="1" x14ac:dyDescent="0.3">
      <c r="B8" s="29" t="s">
        <v>27</v>
      </c>
      <c r="C8" s="9">
        <v>0.7538559967602847</v>
      </c>
      <c r="D8" s="10"/>
      <c r="E8" s="2"/>
    </row>
    <row r="9" spans="2:6" ht="20" thickBot="1" x14ac:dyDescent="0.3">
      <c r="B9" s="2"/>
      <c r="C9" s="2"/>
      <c r="D9" s="2"/>
      <c r="E9" s="2"/>
    </row>
    <row r="10" spans="2:6" ht="20" thickBot="1" x14ac:dyDescent="0.3">
      <c r="B10" s="30" t="s">
        <v>28</v>
      </c>
      <c r="C10" s="15" t="s">
        <v>4</v>
      </c>
    </row>
    <row r="11" spans="2:6" x14ac:dyDescent="0.25">
      <c r="B11" s="31" t="s">
        <v>24</v>
      </c>
      <c r="C11" s="11">
        <v>0.53357792764973078</v>
      </c>
    </row>
    <row r="12" spans="2:6" ht="20" thickBot="1" x14ac:dyDescent="0.3">
      <c r="B12" s="32" t="s">
        <v>25</v>
      </c>
      <c r="C12" s="12">
        <f>1-C11</f>
        <v>0.46642207235026922</v>
      </c>
    </row>
    <row r="13" spans="2:6" ht="20" thickBot="1" x14ac:dyDescent="0.3"/>
    <row r="14" spans="2:6" x14ac:dyDescent="0.25">
      <c r="B14" s="33" t="s">
        <v>15</v>
      </c>
      <c r="C14" s="13">
        <f>C11*C5+C6*C12</f>
        <v>5.7095610098365376E-2</v>
      </c>
    </row>
    <row r="15" spans="2:6" x14ac:dyDescent="0.25">
      <c r="B15" s="31" t="s">
        <v>14</v>
      </c>
      <c r="C15" s="11">
        <f>SQRT(C11^2*D5^2+C12^2*D6^2+2*C8*C11*C12*D5*D6)</f>
        <v>0.18120496319482296</v>
      </c>
    </row>
    <row r="16" spans="2:6" ht="20" thickBot="1" x14ac:dyDescent="0.3">
      <c r="B16" s="32" t="s">
        <v>13</v>
      </c>
      <c r="C16" s="14">
        <f>(C14-C7)/C15</f>
        <v>0.31453669421342728</v>
      </c>
    </row>
    <row r="17" spans="2:7" ht="20" thickBot="1" x14ac:dyDescent="0.3">
      <c r="F17" s="72" t="s">
        <v>12</v>
      </c>
      <c r="G17" s="73"/>
    </row>
    <row r="18" spans="2:7" ht="20" thickBot="1" x14ac:dyDescent="0.3">
      <c r="B18" s="30" t="s">
        <v>11</v>
      </c>
      <c r="C18" s="15"/>
      <c r="F18" s="16" t="s">
        <v>4</v>
      </c>
      <c r="G18" s="82">
        <v>0.57860205642980378</v>
      </c>
    </row>
    <row r="19" spans="2:7" x14ac:dyDescent="0.25">
      <c r="B19" s="31" t="s">
        <v>9</v>
      </c>
      <c r="C19" s="17">
        <v>3</v>
      </c>
      <c r="D19" s="1" t="s">
        <v>29</v>
      </c>
      <c r="F19" s="18" t="s">
        <v>10</v>
      </c>
      <c r="G19" s="83">
        <f>G18*C14+(1-G18)*C7</f>
        <v>3.3077777210385496E-2</v>
      </c>
    </row>
    <row r="20" spans="2:7" x14ac:dyDescent="0.25">
      <c r="B20" s="31" t="s">
        <v>7</v>
      </c>
      <c r="C20" s="23">
        <f>(C14-C7)/(C19*C15^2)</f>
        <v>0.5786020586261984</v>
      </c>
      <c r="F20" s="18" t="s">
        <v>8</v>
      </c>
      <c r="G20" s="84">
        <f>SQRT(G18^2*C15^2)</f>
        <v>0.10484556433981147</v>
      </c>
    </row>
    <row r="21" spans="2:7" ht="20" thickBot="1" x14ac:dyDescent="0.3">
      <c r="B21" s="31"/>
      <c r="C21" s="19"/>
      <c r="D21" s="20"/>
      <c r="F21" s="21" t="s">
        <v>6</v>
      </c>
      <c r="G21" s="85">
        <f>G19-C19/2*G20^2</f>
        <v>1.6588888667785177E-2</v>
      </c>
    </row>
    <row r="22" spans="2:7" x14ac:dyDescent="0.25">
      <c r="B22" s="31" t="s">
        <v>5</v>
      </c>
      <c r="C22" s="19" t="s">
        <v>4</v>
      </c>
      <c r="D22" s="22"/>
    </row>
    <row r="23" spans="2:7" x14ac:dyDescent="0.25">
      <c r="B23" s="31" t="s">
        <v>24</v>
      </c>
      <c r="C23" s="23">
        <f>C20*C11</f>
        <v>0.30872928737563499</v>
      </c>
      <c r="D23" s="22"/>
    </row>
    <row r="24" spans="2:7" x14ac:dyDescent="0.25">
      <c r="B24" s="31" t="s">
        <v>25</v>
      </c>
      <c r="C24" s="23">
        <f>C20*C12</f>
        <v>0.26987277125056341</v>
      </c>
      <c r="D24" s="22"/>
    </row>
    <row r="25" spans="2:7" ht="20" thickBot="1" x14ac:dyDescent="0.3">
      <c r="B25" s="32" t="s">
        <v>0</v>
      </c>
      <c r="C25" s="24">
        <f>1-C20</f>
        <v>0.4213979413738016</v>
      </c>
      <c r="D25" s="22"/>
    </row>
  </sheetData>
  <mergeCells count="2">
    <mergeCell ref="B1:F2"/>
    <mergeCell ref="F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EA9D-874C-8B42-95C3-B6E10C425E0C}">
  <dimension ref="B2:G31"/>
  <sheetViews>
    <sheetView workbookViewId="0">
      <selection activeCell="M18" sqref="M18"/>
    </sheetView>
  </sheetViews>
  <sheetFormatPr baseColWidth="10" defaultColWidth="8.83203125" defaultRowHeight="19" x14ac:dyDescent="0.2"/>
  <cols>
    <col min="1" max="1" width="8.83203125" style="35"/>
    <col min="2" max="2" width="24" style="35" customWidth="1"/>
    <col min="3" max="3" width="14.6640625" style="35" customWidth="1"/>
    <col min="4" max="4" width="18.5" style="35" customWidth="1"/>
    <col min="5" max="5" width="21.5" style="35" customWidth="1"/>
    <col min="6" max="6" width="37" style="35" customWidth="1"/>
    <col min="7" max="7" width="33.6640625" style="35" customWidth="1"/>
    <col min="8" max="16384" width="8.83203125" style="35"/>
  </cols>
  <sheetData>
    <row r="2" spans="2:7" ht="20" thickBot="1" x14ac:dyDescent="0.25"/>
    <row r="3" spans="2:7" ht="55" customHeight="1" thickBot="1" x14ac:dyDescent="0.25">
      <c r="B3" s="79" t="s">
        <v>21</v>
      </c>
      <c r="C3" s="80"/>
      <c r="D3" s="80"/>
      <c r="E3" s="80"/>
      <c r="F3" s="80"/>
      <c r="G3" s="81"/>
    </row>
    <row r="4" spans="2:7" ht="20" thickBot="1" x14ac:dyDescent="0.25">
      <c r="B4" s="36"/>
    </row>
    <row r="5" spans="2:7" ht="19.5" customHeight="1" x14ac:dyDescent="0.2">
      <c r="B5" s="37" t="s">
        <v>20</v>
      </c>
      <c r="C5" s="38" t="s">
        <v>19</v>
      </c>
      <c r="D5" s="39" t="s">
        <v>14</v>
      </c>
    </row>
    <row r="6" spans="2:7" x14ac:dyDescent="0.2">
      <c r="B6" s="40" t="s">
        <v>3</v>
      </c>
      <c r="C6" s="41">
        <v>5.2299999999999999E-2</v>
      </c>
      <c r="D6" s="42">
        <v>0.1777</v>
      </c>
    </row>
    <row r="7" spans="2:7" x14ac:dyDescent="0.2">
      <c r="B7" s="40" t="s">
        <v>2</v>
      </c>
      <c r="C7" s="41">
        <v>6.2600000000000003E-2</v>
      </c>
      <c r="D7" s="42">
        <v>0.21160000000000001</v>
      </c>
    </row>
    <row r="8" spans="2:7" x14ac:dyDescent="0.2">
      <c r="B8" s="40" t="s">
        <v>1</v>
      </c>
      <c r="C8" s="41">
        <v>6.1899999999999997E-2</v>
      </c>
      <c r="D8" s="42">
        <v>0.2878</v>
      </c>
    </row>
    <row r="9" spans="2:7" ht="20" thickBot="1" x14ac:dyDescent="0.25">
      <c r="B9" s="43" t="s">
        <v>18</v>
      </c>
      <c r="C9" s="44">
        <v>1E-4</v>
      </c>
      <c r="D9" s="45"/>
      <c r="E9" s="46"/>
    </row>
    <row r="10" spans="2:7" x14ac:dyDescent="0.2">
      <c r="B10" s="37" t="s">
        <v>17</v>
      </c>
      <c r="C10" s="38" t="s">
        <v>3</v>
      </c>
      <c r="D10" s="39" t="s">
        <v>2</v>
      </c>
      <c r="E10" s="46"/>
    </row>
    <row r="11" spans="2:7" x14ac:dyDescent="0.2">
      <c r="B11" s="40" t="s">
        <v>2</v>
      </c>
      <c r="C11" s="47">
        <v>0.754</v>
      </c>
      <c r="D11" s="48"/>
      <c r="E11" s="46"/>
    </row>
    <row r="12" spans="2:7" ht="20" thickBot="1" x14ac:dyDescent="0.25">
      <c r="B12" s="49" t="s">
        <v>1</v>
      </c>
      <c r="C12" s="50">
        <v>0.46</v>
      </c>
      <c r="D12" s="51">
        <v>0.57899999999999996</v>
      </c>
      <c r="E12" s="46"/>
    </row>
    <row r="13" spans="2:7" ht="20" thickBot="1" x14ac:dyDescent="0.25"/>
    <row r="14" spans="2:7" x14ac:dyDescent="0.2">
      <c r="B14" s="37" t="s">
        <v>16</v>
      </c>
      <c r="C14" s="52" t="s">
        <v>4</v>
      </c>
    </row>
    <row r="15" spans="2:7" x14ac:dyDescent="0.2">
      <c r="B15" s="40" t="s">
        <v>3</v>
      </c>
      <c r="C15" s="70">
        <v>0.51214687269356407</v>
      </c>
      <c r="D15" s="74"/>
      <c r="E15" s="75"/>
    </row>
    <row r="16" spans="2:7" x14ac:dyDescent="0.2">
      <c r="B16" s="40" t="s">
        <v>2</v>
      </c>
      <c r="C16" s="70">
        <v>0.37015584699035631</v>
      </c>
      <c r="D16" s="74"/>
      <c r="E16" s="75"/>
    </row>
    <row r="17" spans="2:7" x14ac:dyDescent="0.2">
      <c r="B17" s="53" t="s">
        <v>1</v>
      </c>
      <c r="C17" s="70">
        <f>1-C15-C16</f>
        <v>0.11769728031607962</v>
      </c>
      <c r="D17" s="76"/>
      <c r="E17" s="77"/>
    </row>
    <row r="18" spans="2:7" x14ac:dyDescent="0.2">
      <c r="B18" s="53"/>
      <c r="C18" s="54"/>
    </row>
    <row r="19" spans="2:7" x14ac:dyDescent="0.2">
      <c r="B19" s="53" t="s">
        <v>15</v>
      </c>
      <c r="C19" s="55">
        <f>C15*C6+C16*C7+C17*C8</f>
        <v>5.7242499115035032E-2</v>
      </c>
    </row>
    <row r="20" spans="2:7" x14ac:dyDescent="0.2">
      <c r="B20" s="53" t="s">
        <v>14</v>
      </c>
      <c r="C20" s="55">
        <f>SQRT(C15^2*D6^2+C16^2*D7^2+C17^2*D8^2+2*C15*C16*C11*D6*D7+2*C15*C17*C12*D6*D8+2*C16*C17*D12*D7*D8)</f>
        <v>0.1795065030041505</v>
      </c>
    </row>
    <row r="21" spans="2:7" ht="20" thickBot="1" x14ac:dyDescent="0.25">
      <c r="B21" s="56" t="s">
        <v>13</v>
      </c>
      <c r="C21" s="57">
        <f>(C19-C9)/C20</f>
        <v>0.31833108081724371</v>
      </c>
    </row>
    <row r="22" spans="2:7" ht="20" thickBot="1" x14ac:dyDescent="0.25">
      <c r="F22" s="58" t="s">
        <v>12</v>
      </c>
      <c r="G22" s="59"/>
    </row>
    <row r="23" spans="2:7" x14ac:dyDescent="0.2">
      <c r="B23" s="60" t="s">
        <v>11</v>
      </c>
      <c r="C23" s="59"/>
      <c r="F23" s="61" t="s">
        <v>10</v>
      </c>
      <c r="G23" s="64">
        <f>G25*C19 + (1-G25)*C9</f>
        <v>5.0767338198049412E-2</v>
      </c>
    </row>
    <row r="24" spans="2:7" x14ac:dyDescent="0.2">
      <c r="B24" s="53" t="s">
        <v>9</v>
      </c>
      <c r="C24" s="62">
        <v>2</v>
      </c>
      <c r="D24" s="78"/>
      <c r="E24" s="77"/>
      <c r="F24" s="61" t="s">
        <v>8</v>
      </c>
      <c r="G24" s="64">
        <f>G25*C20</f>
        <v>0.15916553943765835</v>
      </c>
    </row>
    <row r="25" spans="2:7" ht="20" thickBot="1" x14ac:dyDescent="0.25">
      <c r="B25" s="56" t="s">
        <v>7</v>
      </c>
      <c r="C25" s="67">
        <f>(C19-C9)/(C24*C20^2)</f>
        <v>0.88668397938174781</v>
      </c>
      <c r="F25" s="61" t="s">
        <v>7</v>
      </c>
      <c r="G25" s="65">
        <v>0.8866839739726764</v>
      </c>
    </row>
    <row r="26" spans="2:7" ht="20" thickBot="1" x14ac:dyDescent="0.25">
      <c r="F26" s="63" t="s">
        <v>6</v>
      </c>
      <c r="G26" s="66">
        <f>G23-C24/2*G24^2</f>
        <v>2.5433669253568637E-2</v>
      </c>
    </row>
    <row r="27" spans="2:7" x14ac:dyDescent="0.2">
      <c r="B27" s="60" t="s">
        <v>5</v>
      </c>
      <c r="C27" s="52" t="s">
        <v>4</v>
      </c>
    </row>
    <row r="28" spans="2:7" x14ac:dyDescent="0.2">
      <c r="B28" s="53" t="s">
        <v>3</v>
      </c>
      <c r="C28" s="68">
        <f>C25*C15</f>
        <v>0.45411242710784677</v>
      </c>
    </row>
    <row r="29" spans="2:7" x14ac:dyDescent="0.2">
      <c r="B29" s="53" t="s">
        <v>2</v>
      </c>
      <c r="C29" s="68">
        <f>C25*C16</f>
        <v>0.32821125940083051</v>
      </c>
    </row>
    <row r="30" spans="2:7" x14ac:dyDescent="0.2">
      <c r="B30" s="53" t="s">
        <v>1</v>
      </c>
      <c r="C30" s="68">
        <f>C25*C17</f>
        <v>0.10436029287307054</v>
      </c>
    </row>
    <row r="31" spans="2:7" ht="20" thickBot="1" x14ac:dyDescent="0.25">
      <c r="B31" s="56" t="s">
        <v>0</v>
      </c>
      <c r="C31" s="69">
        <f>1-C25</f>
        <v>0.11331602061825219</v>
      </c>
    </row>
  </sheetData>
  <mergeCells count="4">
    <mergeCell ref="D15:E16"/>
    <mergeCell ref="D17:E17"/>
    <mergeCell ref="D24:E24"/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Two Risky Assets</vt:lpstr>
      <vt:lpstr>Three Risky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Li</dc:creator>
  <cp:lastModifiedBy>Oh, Sangmin</cp:lastModifiedBy>
  <dcterms:created xsi:type="dcterms:W3CDTF">2025-03-03T03:11:13Z</dcterms:created>
  <dcterms:modified xsi:type="dcterms:W3CDTF">2025-03-08T17:56:05Z</dcterms:modified>
</cp:coreProperties>
</file>