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mino/Dropbox/8. FACULTY/Teaching : Coursework/02 2025S CMI/COURSE Lecture Slides/02 Markets 2 - Investing/"/>
    </mc:Choice>
  </mc:AlternateContent>
  <xr:revisionPtr revIDLastSave="0" documentId="13_ncr:1_{06DE4A70-F067-4B41-B24C-CE260A8DD7E0}" xr6:coauthVersionLast="47" xr6:coauthVersionMax="47" xr10:uidLastSave="{00000000-0000-0000-0000-000000000000}"/>
  <bookViews>
    <workbookView xWindow="0" yWindow="500" windowWidth="28800" windowHeight="16560" xr2:uid="{2FC607E3-CAB3-8D45-A8FA-1F83F2BA6D70}"/>
  </bookViews>
  <sheets>
    <sheet name="In-class Exerc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8" i="1" s="1"/>
  <c r="C16" i="1"/>
  <c r="C15" i="1"/>
  <c r="C17" i="1" s="1"/>
  <c r="E13" i="1"/>
  <c r="C13" i="1"/>
  <c r="C20" i="1" s="1"/>
  <c r="C21" i="1" l="1"/>
  <c r="C18" i="1"/>
  <c r="E20" i="1"/>
  <c r="E24" i="1" s="1"/>
  <c r="E21" i="1"/>
  <c r="E17" i="1"/>
  <c r="C24" i="1"/>
  <c r="E23" i="1" l="1"/>
  <c r="C23" i="1"/>
</calcChain>
</file>

<file path=xl/sharedStrings.xml><?xml version="1.0" encoding="utf-8"?>
<sst xmlns="http://schemas.openxmlformats.org/spreadsheetml/2006/main" count="19" uniqueCount="18">
  <si>
    <t xml:space="preserve">Mutual fund investment </t>
  </si>
  <si>
    <t>Up scenario</t>
  </si>
  <si>
    <t>Down scenario</t>
  </si>
  <si>
    <t>Choice 1</t>
  </si>
  <si>
    <t>Debt</t>
  </si>
  <si>
    <t>Student loan</t>
  </si>
  <si>
    <t>Investment into mutual fund</t>
  </si>
  <si>
    <t>Expected return</t>
  </si>
  <si>
    <t>Dollar payoff in up scenario</t>
  </si>
  <si>
    <t>Dollar payoff in down scenario</t>
  </si>
  <si>
    <t>Expected dollar payoff</t>
  </si>
  <si>
    <t>Volatility of dollar payoff</t>
  </si>
  <si>
    <t>Return in the up scenario</t>
  </si>
  <si>
    <t>Equity</t>
  </si>
  <si>
    <t>Return in the down scenario</t>
  </si>
  <si>
    <t>Choice 2</t>
  </si>
  <si>
    <t>In-class Exercise: Maria's Allocation Decision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</si>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</sst>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9" fontId="0" fillId="0" borderId="5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4D38-90C0-7E41-85E5-4ED7FAF4095B}">
  <dimension ref="B1:E24"/>
  <sheetViews>
    <sheetView tabSelected="1" zoomScale="115" workbookViewId="0">
      <selection activeCell="C7" sqref="C7"/>
    </sheetView>
  </sheetViews>
  <sheetFormatPr baseColWidth="10" defaultRowHeight="16" x14ac:dyDescent="0.2"/>
  <cols>
    <col min="1" max="1" width="4" customWidth="1"/>
    <col min="2" max="2" width="31.33203125" customWidth="1"/>
    <col min="3" max="3" width="27.33203125" style="1" customWidth="1"/>
    <col min="4" max="4" width="4.1640625" style="1" customWidth="1"/>
    <col min="5" max="5" width="24.33203125" style="1" customWidth="1"/>
  </cols>
  <sheetData>
    <row r="1" spans="2:5" ht="17" thickBot="1" x14ac:dyDescent="0.25"/>
    <row r="2" spans="2:5" x14ac:dyDescent="0.2">
      <c r="B2" s="22" t="s">
        <v>16</v>
      </c>
      <c r="C2" s="23"/>
      <c r="D2" s="23"/>
      <c r="E2" s="24"/>
    </row>
    <row r="3" spans="2:5" ht="17" thickBot="1" x14ac:dyDescent="0.25">
      <c r="B3" s="25"/>
      <c r="C3" s="26"/>
      <c r="D3" s="26"/>
      <c r="E3" s="27"/>
    </row>
    <row r="4" spans="2:5" ht="17" thickBot="1" x14ac:dyDescent="0.25">
      <c r="B4" s="20" t="s">
        <v>0</v>
      </c>
      <c r="C4" s="21" t="s">
        <v>17</v>
      </c>
    </row>
    <row r="5" spans="2:5" x14ac:dyDescent="0.2">
      <c r="B5" s="2" t="s">
        <v>1</v>
      </c>
      <c r="C5" s="8">
        <v>0.15</v>
      </c>
    </row>
    <row r="6" spans="2:5" ht="17" thickBot="1" x14ac:dyDescent="0.25">
      <c r="B6" s="3" t="s">
        <v>2</v>
      </c>
      <c r="C6" s="9">
        <v>-0.05</v>
      </c>
    </row>
    <row r="7" spans="2:5" ht="17" thickBot="1" x14ac:dyDescent="0.25"/>
    <row r="8" spans="2:5" ht="17" thickBot="1" x14ac:dyDescent="0.25">
      <c r="B8" s="4" t="s">
        <v>5</v>
      </c>
      <c r="C8" s="10">
        <v>0.04</v>
      </c>
    </row>
    <row r="9" spans="2:5" ht="17" thickBot="1" x14ac:dyDescent="0.25"/>
    <row r="10" spans="2:5" ht="17" thickBot="1" x14ac:dyDescent="0.25">
      <c r="B10" s="5"/>
      <c r="C10" s="11" t="s">
        <v>3</v>
      </c>
      <c r="D10" s="12"/>
      <c r="E10" s="13" t="s">
        <v>15</v>
      </c>
    </row>
    <row r="11" spans="2:5" x14ac:dyDescent="0.2">
      <c r="B11" s="6" t="s">
        <v>6</v>
      </c>
      <c r="C11" s="14">
        <v>20</v>
      </c>
      <c r="E11" s="15">
        <v>100</v>
      </c>
    </row>
    <row r="12" spans="2:5" x14ac:dyDescent="0.2">
      <c r="B12" s="6" t="s">
        <v>4</v>
      </c>
      <c r="C12" s="14">
        <v>0</v>
      </c>
      <c r="E12" s="15">
        <v>-80</v>
      </c>
    </row>
    <row r="13" spans="2:5" x14ac:dyDescent="0.2">
      <c r="B13" s="6" t="s">
        <v>13</v>
      </c>
      <c r="C13" s="14">
        <f>SUM(C11:C12)</f>
        <v>20</v>
      </c>
      <c r="E13" s="15">
        <f>SUM(E11:E12)</f>
        <v>20</v>
      </c>
    </row>
    <row r="14" spans="2:5" x14ac:dyDescent="0.2">
      <c r="B14" s="6"/>
      <c r="C14" s="14"/>
      <c r="E14" s="15"/>
    </row>
    <row r="15" spans="2:5" x14ac:dyDescent="0.2">
      <c r="B15" s="6" t="s">
        <v>8</v>
      </c>
      <c r="C15" s="14">
        <f>C11*(1 + C5)+C12*( 1+ C8)</f>
        <v>23</v>
      </c>
      <c r="E15" s="15">
        <f>E11*(1 + C5) + E12* ( 1+ C8)</f>
        <v>31.799999999999983</v>
      </c>
    </row>
    <row r="16" spans="2:5" x14ac:dyDescent="0.2">
      <c r="B16" s="6" t="s">
        <v>9</v>
      </c>
      <c r="C16" s="14">
        <f>C11*(1 + C6) +C12*( 1 + C8)</f>
        <v>19</v>
      </c>
      <c r="E16" s="15">
        <f>E11*(1 + C6) + E12*(1 + C8)</f>
        <v>11.799999999999997</v>
      </c>
    </row>
    <row r="17" spans="2:5" x14ac:dyDescent="0.2">
      <c r="B17" s="6" t="s">
        <v>10</v>
      </c>
      <c r="C17" s="14">
        <f>C15*0.5 + C16*0.5</f>
        <v>21</v>
      </c>
      <c r="E17" s="15">
        <f>E15*0.5 + E16*0.5</f>
        <v>21.79999999999999</v>
      </c>
    </row>
    <row r="18" spans="2:5" x14ac:dyDescent="0.2">
      <c r="B18" s="6" t="s">
        <v>11</v>
      </c>
      <c r="C18" s="14">
        <f>_xlfn.STDEV.P(C15:C16)</f>
        <v>2</v>
      </c>
      <c r="E18" s="15">
        <f>_xlfn.STDEV.P(E15:E16)</f>
        <v>9.9999999999999947</v>
      </c>
    </row>
    <row r="19" spans="2:5" x14ac:dyDescent="0.2">
      <c r="B19" s="6"/>
      <c r="C19" s="14"/>
      <c r="E19" s="15"/>
    </row>
    <row r="20" spans="2:5" x14ac:dyDescent="0.2">
      <c r="B20" s="6" t="s">
        <v>12</v>
      </c>
      <c r="C20" s="14">
        <f>C15/C13-1</f>
        <v>0.14999999999999991</v>
      </c>
      <c r="E20" s="15">
        <f>E15/E13-1</f>
        <v>0.58999999999999919</v>
      </c>
    </row>
    <row r="21" spans="2:5" x14ac:dyDescent="0.2">
      <c r="B21" s="6" t="s">
        <v>14</v>
      </c>
      <c r="C21" s="14">
        <f>C16/C13-1</f>
        <v>-5.0000000000000044E-2</v>
      </c>
      <c r="E21" s="15">
        <f>E16/E13-1</f>
        <v>-0.41000000000000014</v>
      </c>
    </row>
    <row r="22" spans="2:5" x14ac:dyDescent="0.2">
      <c r="B22" s="6"/>
      <c r="C22" s="14"/>
      <c r="E22" s="15"/>
    </row>
    <row r="23" spans="2:5" x14ac:dyDescent="0.2">
      <c r="B23" s="6" t="s">
        <v>7</v>
      </c>
      <c r="C23" s="17">
        <f>0.5 * C20 + 0.5*C21</f>
        <v>4.9999999999999933E-2</v>
      </c>
      <c r="E23" s="18">
        <f>E20*0.5 + E21*0.5</f>
        <v>8.9999999999999525E-2</v>
      </c>
    </row>
    <row r="24" spans="2:5" ht="17" thickBot="1" x14ac:dyDescent="0.25">
      <c r="B24" s="7" t="s">
        <v>11</v>
      </c>
      <c r="C24" s="16">
        <f>_xlfn.STDEV.P(C20:C21)</f>
        <v>9.9999999999999978E-2</v>
      </c>
      <c r="E24" s="19">
        <f>_xlfn.STDEV.P(E20:E21)</f>
        <v>0.49999999999999961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In-class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Li</dc:creator>
  <cp:lastModifiedBy>Sangmin Oh</cp:lastModifiedBy>
  <dcterms:created xsi:type="dcterms:W3CDTF">2024-01-17T02:49:40Z</dcterms:created>
  <dcterms:modified xsi:type="dcterms:W3CDTF">2025-01-21T14:44:36Z</dcterms:modified>
</cp:coreProperties>
</file>