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b7ba95c5857df4/Documents/01 CBS Courses/05 Cap Mkts/Complete Sheets/"/>
    </mc:Choice>
  </mc:AlternateContent>
  <xr:revisionPtr revIDLastSave="1" documentId="13_ncr:1_{91754119-9436-3448-9322-AA735F3B2260}" xr6:coauthVersionLast="47" xr6:coauthVersionMax="47" xr10:uidLastSave="{FFCEF893-1350-460F-8534-F48A004A8723}"/>
  <bookViews>
    <workbookView xWindow="-110" yWindow="-110" windowWidth="19420" windowHeight="11500" xr2:uid="{69C82665-45A0-5E40-B617-59295E43AE53}"/>
  </bookViews>
  <sheets>
    <sheet name="Example 1 - Price Sensitivity" sheetId="1" r:id="rId1"/>
  </sheets>
  <definedNames>
    <definedName name="solver_adj" localSheetId="0" hidden="1">'Example 1 - Price Sensitivity'!$C$28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'Example 1 - Price Sensitivity'!$C$28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'Example 1 - Price Sensitivity'!$C$29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'Example 1 - Price Sensitivity'!$C$27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6013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7" i="1" l="1"/>
  <c r="C26" i="1"/>
  <c r="C29" i="1" s="1"/>
  <c r="C13" i="1"/>
  <c r="G13" i="1" s="1"/>
  <c r="G12" i="1"/>
  <c r="C11" i="1"/>
  <c r="H8" i="1"/>
  <c r="H12" i="1" s="1"/>
  <c r="F8" i="1"/>
  <c r="E8" i="1" s="1"/>
  <c r="H13" i="1" l="1"/>
  <c r="C14" i="1"/>
  <c r="C15" i="1" s="1"/>
  <c r="G15" i="1" s="1"/>
  <c r="E12" i="1"/>
  <c r="D8" i="1"/>
  <c r="D12" i="1" s="1"/>
  <c r="D11" i="1"/>
  <c r="F12" i="1"/>
  <c r="I8" i="1"/>
  <c r="I11" i="1" s="1"/>
  <c r="C10" i="1"/>
  <c r="E11" i="1"/>
  <c r="F11" i="1"/>
  <c r="E15" i="1"/>
  <c r="G11" i="1"/>
  <c r="F15" i="1"/>
  <c r="H11" i="1"/>
  <c r="E14" i="1"/>
  <c r="F14" i="1"/>
  <c r="E13" i="1"/>
  <c r="G14" i="1"/>
  <c r="F13" i="1"/>
  <c r="H15" i="1" l="1"/>
  <c r="D13" i="1"/>
  <c r="I14" i="1"/>
  <c r="H14" i="1"/>
  <c r="I10" i="1"/>
  <c r="H10" i="1"/>
  <c r="G10" i="1"/>
  <c r="F10" i="1"/>
  <c r="E10" i="1"/>
  <c r="C9" i="1"/>
  <c r="D9" i="1" s="1"/>
  <c r="D10" i="1"/>
  <c r="I12" i="1"/>
  <c r="J8" i="1"/>
  <c r="I13" i="1"/>
  <c r="D14" i="1"/>
  <c r="D15" i="1"/>
  <c r="I15" i="1"/>
  <c r="J12" i="1" l="1"/>
  <c r="J13" i="1"/>
  <c r="J14" i="1"/>
  <c r="J15" i="1"/>
  <c r="J11" i="1"/>
  <c r="H9" i="1"/>
  <c r="G9" i="1"/>
  <c r="F9" i="1"/>
  <c r="E9" i="1"/>
  <c r="I9" i="1"/>
  <c r="J9" i="1"/>
  <c r="J10" i="1"/>
</calcChain>
</file>

<file path=xl/sharedStrings.xml><?xml version="1.0" encoding="utf-8"?>
<sst xmlns="http://schemas.openxmlformats.org/spreadsheetml/2006/main" count="15" uniqueCount="14">
  <si>
    <t>g step</t>
  </si>
  <si>
    <t>Growth rates</t>
  </si>
  <si>
    <t>k step</t>
  </si>
  <si>
    <t>Discount rates</t>
  </si>
  <si>
    <t>Required return</t>
  </si>
  <si>
    <t>Growth rate</t>
  </si>
  <si>
    <t>Value</t>
  </si>
  <si>
    <t>In-class Exercise: Price Sensitivity</t>
  </si>
  <si>
    <t>D0</t>
  </si>
  <si>
    <t>Current Price</t>
  </si>
  <si>
    <t>k</t>
  </si>
  <si>
    <t>g</t>
  </si>
  <si>
    <t>Equation Output</t>
  </si>
  <si>
    <t>Q. What growth rate makes index value equal to the price if required return is 8%? (We will use Solver)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</si>
</sst>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10" fontId="0" fillId="0" borderId="0" xfId="0" applyNumberFormat="1"/>
    <xf numFmtId="0" fontId="0" fillId="2" borderId="0" xfId="0" applyFill="1"/>
    <xf numFmtId="10" fontId="0" fillId="3" borderId="0" xfId="2" applyNumberFormat="1" applyFont="1" applyFill="1" applyBorder="1"/>
    <xf numFmtId="9" fontId="0" fillId="0" borderId="0" xfId="0" applyNumberFormat="1"/>
    <xf numFmtId="43" fontId="0" fillId="0" borderId="0" xfId="0" applyNumberFormat="1"/>
    <xf numFmtId="0" fontId="0" fillId="2" borderId="2" xfId="0" applyFill="1" applyBorder="1"/>
    <xf numFmtId="43" fontId="2" fillId="2" borderId="3" xfId="1" applyFont="1" applyFill="1" applyBorder="1"/>
    <xf numFmtId="0" fontId="4" fillId="2" borderId="4" xfId="0" applyFont="1" applyFill="1" applyBorder="1"/>
    <xf numFmtId="10" fontId="2" fillId="2" borderId="5" xfId="0" applyNumberFormat="1" applyFont="1" applyFill="1" applyBorder="1"/>
    <xf numFmtId="0" fontId="4" fillId="2" borderId="6" xfId="0" applyFont="1" applyFill="1" applyBorder="1"/>
    <xf numFmtId="10" fontId="2" fillId="2" borderId="7" xfId="0" applyNumberFormat="1" applyFont="1" applyFill="1" applyBorder="1"/>
    <xf numFmtId="0" fontId="5" fillId="3" borderId="4" xfId="0" applyFont="1" applyFill="1" applyBorder="1"/>
    <xf numFmtId="0" fontId="5" fillId="3" borderId="8" xfId="0" applyFont="1" applyFill="1" applyBorder="1"/>
    <xf numFmtId="0" fontId="5" fillId="3" borderId="5" xfId="0" applyFont="1" applyFill="1" applyBorder="1"/>
    <xf numFmtId="10" fontId="0" fillId="3" borderId="9" xfId="2" applyNumberFormat="1" applyFont="1" applyFill="1" applyBorder="1"/>
    <xf numFmtId="10" fontId="0" fillId="3" borderId="8" xfId="2" applyNumberFormat="1" applyFont="1" applyFill="1" applyBorder="1"/>
    <xf numFmtId="0" fontId="0" fillId="0" borderId="4" xfId="0" applyBorder="1"/>
    <xf numFmtId="9" fontId="0" fillId="0" borderId="5" xfId="0" applyNumberForma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0" fontId="0" fillId="0" borderId="7" xfId="0" applyNumberFormat="1" applyBorder="1"/>
    <xf numFmtId="164" fontId="0" fillId="0" borderId="12" xfId="0" applyNumberFormat="1" applyBorder="1"/>
    <xf numFmtId="43" fontId="0" fillId="0" borderId="8" xfId="0" applyNumberFormat="1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43" fontId="0" fillId="0" borderId="9" xfId="0" applyNumberFormat="1" applyBorder="1"/>
    <xf numFmtId="0" fontId="0" fillId="0" borderId="9" xfId="0" applyBorder="1"/>
    <xf numFmtId="0" fontId="0" fillId="0" borderId="7" xfId="0" applyBorder="1"/>
    <xf numFmtId="43" fontId="0" fillId="4" borderId="7" xfId="0" applyNumberFormat="1" applyFill="1" applyBorder="1"/>
    <xf numFmtId="10" fontId="0" fillId="3" borderId="6" xfId="2" applyNumberFormat="1" applyFont="1" applyFill="1" applyBorder="1" applyAlignment="1">
      <alignment horizontal="center"/>
    </xf>
    <xf numFmtId="10" fontId="0" fillId="3" borderId="9" xfId="2" applyNumberFormat="1" applyFont="1" applyFill="1" applyBorder="1" applyAlignment="1">
      <alignment horizontal="center"/>
    </xf>
    <xf numFmtId="10" fontId="0" fillId="3" borderId="7" xfId="2" applyNumberFormat="1" applyFont="1" applyFill="1" applyBorder="1" applyAlignment="1">
      <alignment horizontal="center"/>
    </xf>
    <xf numFmtId="10" fontId="1" fillId="3" borderId="0" xfId="2" applyNumberFormat="1" applyFont="1" applyFill="1" applyBorder="1"/>
    <xf numFmtId="10" fontId="1" fillId="3" borderId="9" xfId="2" applyNumberFormat="1" applyFont="1" applyFill="1" applyBorder="1" applyAlignment="1">
      <alignment horizontal="center"/>
    </xf>
    <xf numFmtId="43" fontId="7" fillId="4" borderId="10" xfId="1" applyFont="1" applyFill="1" applyBorder="1" applyAlignment="1">
      <alignment horizontal="center"/>
    </xf>
    <xf numFmtId="43" fontId="7" fillId="4" borderId="8" xfId="1" applyFont="1" applyFill="1" applyBorder="1" applyAlignment="1">
      <alignment horizontal="center"/>
    </xf>
    <xf numFmtId="43" fontId="7" fillId="4" borderId="5" xfId="1" applyFont="1" applyFill="1" applyBorder="1" applyAlignment="1">
      <alignment horizontal="center"/>
    </xf>
    <xf numFmtId="43" fontId="7" fillId="4" borderId="1" xfId="1" applyFont="1" applyFill="1" applyBorder="1" applyAlignment="1">
      <alignment horizontal="center"/>
    </xf>
    <xf numFmtId="43" fontId="7" fillId="4" borderId="0" xfId="1" applyFont="1" applyFill="1" applyBorder="1" applyAlignment="1">
      <alignment horizontal="center"/>
    </xf>
    <xf numFmtId="43" fontId="7" fillId="4" borderId="12" xfId="1" applyFont="1" applyFill="1" applyBorder="1" applyAlignment="1">
      <alignment horizontal="center"/>
    </xf>
    <xf numFmtId="43" fontId="7" fillId="4" borderId="13" xfId="1" applyFont="1" applyFill="1" applyBorder="1" applyAlignment="1">
      <alignment horizontal="center"/>
    </xf>
    <xf numFmtId="43" fontId="7" fillId="4" borderId="9" xfId="1" applyFont="1" applyFill="1" applyBorder="1" applyAlignment="1">
      <alignment horizontal="center"/>
    </xf>
    <xf numFmtId="43" fontId="7" fillId="4" borderId="7" xfId="1" applyFont="1" applyFill="1" applyBorder="1" applyAlignment="1">
      <alignment horizontal="center"/>
    </xf>
    <xf numFmtId="10" fontId="0" fillId="0" borderId="0" xfId="2" applyNumberFormat="1" applyFont="1"/>
    <xf numFmtId="0" fontId="3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 textRotation="180"/>
    </xf>
    <xf numFmtId="0" fontId="5" fillId="3" borderId="11" xfId="0" applyFont="1" applyFill="1" applyBorder="1" applyAlignment="1">
      <alignment horizontal="center" vertical="center" textRotation="180"/>
    </xf>
    <xf numFmtId="0" fontId="5" fillId="3" borderId="6" xfId="0" applyFont="1" applyFill="1" applyBorder="1" applyAlignment="1">
      <alignment horizontal="center" vertical="center" textRotation="180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850964</xdr:colOff>
      <xdr:row>18</xdr:row>
      <xdr:rowOff>0</xdr:rowOff>
    </xdr:from>
    <xdr:to>
      <xdr:col>7</xdr:col>
      <xdr:colOff>507503</xdr:colOff>
      <xdr:row>22</xdr:row>
      <xdr:rowOff>45235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10">
              <a:extLst>
                <a:ext uri="{FF2B5EF4-FFF2-40B4-BE49-F238E27FC236}">
                  <a16:creationId xmlns:a16="http://schemas.microsoft.com/office/drawing/2014/main" id="{57864A51-EDFF-CD48-991A-1A92767980BA}"/>
                </a:ext>
              </a:extLst>
            </xdr:cNvPr>
            <xdr:cNvSpPr txBox="1"/>
          </xdr:nvSpPr>
          <xdr:spPr>
            <a:xfrm>
              <a:off x="2423959" y="3094416"/>
              <a:ext cx="3060397" cy="818839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9pPr>
            </a:lstStyle>
            <a:p>
              <a:pPr>
                <a:buClr>
                  <a:schemeClr val="tx2">
                    <a:lumMod val="60000"/>
                    <a:lumOff val="40000"/>
                  </a:schemeClr>
                </a:buClr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𝑉𝑎𝑙𝑢𝑒</m:t>
                    </m:r>
                    <m:r>
                      <a:rPr lang="en-US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0 </m:t>
                            </m:r>
                          </m:sub>
                        </m:sSub>
                        <m:r>
                          <a:rPr lang="en-US" i="1">
                            <a:latin typeface="Cambria Math" panose="02040503050406030204" pitchFamily="18" charset="0"/>
                          </a:rPr>
                          <m:t>(1+</m:t>
                        </m:r>
                        <m:r>
                          <a:rPr lang="en-US" i="1"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en-US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US">
                <a:solidFill>
                  <a:schemeClr val="tx1"/>
                </a:solidFill>
                <a:latin typeface="+mj-lt"/>
              </a:endParaRPr>
            </a:p>
          </xdr:txBody>
        </xdr:sp>
      </mc:Choice>
      <mc:Fallback xmlns="">
        <xdr:sp macro="" textlink="">
          <xdr:nvSpPr>
            <xdr:cNvPr id="3" name="TextBox 10">
              <a:extLst>
                <a:ext uri="{FF2B5EF4-FFF2-40B4-BE49-F238E27FC236}">
                  <a16:creationId xmlns:a16="http://schemas.microsoft.com/office/drawing/2014/main" id="{57864A51-EDFF-CD48-991A-1A92767980BA}"/>
                </a:ext>
              </a:extLst>
            </xdr:cNvPr>
            <xdr:cNvSpPr txBox="1"/>
          </xdr:nvSpPr>
          <xdr:spPr>
            <a:xfrm>
              <a:off x="2423959" y="3094416"/>
              <a:ext cx="3060397" cy="818839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1"/>
                  </a:solidFill>
                  <a:latin typeface="Times New Roman" pitchFamily="18" charset="0"/>
                  <a:ea typeface="+mn-ea"/>
                  <a:cs typeface="+mn-cs"/>
                </a:defRPr>
              </a:lvl9pPr>
            </a:lstStyle>
            <a:p>
              <a:pPr>
                <a:buClr>
                  <a:schemeClr val="tx2">
                    <a:lumMod val="60000"/>
                    <a:lumOff val="40000"/>
                  </a:schemeClr>
                </a:buClr>
              </a:pPr>
              <a:r>
                <a:rPr lang="en-US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𝑉𝑎𝑙𝑢𝑒=(𝐷_(0 ) </a:t>
              </a:r>
              <a:r>
                <a:rPr lang="en-US" i="0">
                  <a:latin typeface="Cambria Math" panose="02040503050406030204" pitchFamily="18" charset="0"/>
                </a:rPr>
                <a:t>(1+𝑔)</a:t>
              </a:r>
              <a:r>
                <a:rPr lang="en-US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)/(𝑘−𝑔)</a:t>
              </a:r>
              <a:endParaRPr lang="en-US">
                <a:solidFill>
                  <a:schemeClr val="tx1"/>
                </a:solidFill>
                <a:latin typeface="+mj-lt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2FB6-C730-1A4E-802D-B1502909A11F}">
  <dimension ref="B1:J30"/>
  <sheetViews>
    <sheetView tabSelected="1" topLeftCell="A15" zoomScale="125" zoomScaleNormal="197" workbookViewId="0">
      <selection activeCell="C23" sqref="C23"/>
    </sheetView>
  </sheetViews>
  <sheetFormatPr defaultColWidth="8.81640625" defaultRowHeight="14.5" x14ac:dyDescent="0.35"/>
  <cols>
    <col min="1" max="1" width="3.6328125" customWidth="1"/>
    <col min="2" max="2" width="16.453125" customWidth="1"/>
    <col min="3" max="3" width="9.1796875" bestFit="1" customWidth="1"/>
    <col min="4" max="10" width="11.1796875" bestFit="1" customWidth="1"/>
    <col min="11" max="14" width="11.453125" customWidth="1"/>
  </cols>
  <sheetData>
    <row r="1" spans="2:10" ht="15" thickBot="1" x14ac:dyDescent="0.4"/>
    <row r="2" spans="2:10" x14ac:dyDescent="0.35">
      <c r="B2" s="53" t="s">
        <v>7</v>
      </c>
      <c r="C2" s="54"/>
      <c r="D2" s="54"/>
      <c r="E2" s="54"/>
      <c r="F2" s="54"/>
      <c r="G2" s="54"/>
      <c r="H2" s="54"/>
      <c r="I2" s="54"/>
      <c r="J2" s="55"/>
    </row>
    <row r="3" spans="2:10" ht="15" thickBot="1" x14ac:dyDescent="0.4">
      <c r="B3" s="56"/>
      <c r="C3" s="57"/>
      <c r="D3" s="57"/>
      <c r="E3" s="57"/>
      <c r="F3" s="57"/>
      <c r="G3" s="57"/>
      <c r="H3" s="57"/>
      <c r="I3" s="57"/>
      <c r="J3" s="58"/>
    </row>
    <row r="4" spans="2:10" ht="15" thickBot="1" x14ac:dyDescent="0.4">
      <c r="C4" s="1"/>
    </row>
    <row r="5" spans="2:10" ht="15" thickBot="1" x14ac:dyDescent="0.4">
      <c r="B5" s="6" t="s">
        <v>8</v>
      </c>
      <c r="C5" s="7">
        <v>74.83</v>
      </c>
      <c r="D5" s="49"/>
      <c r="E5" s="49"/>
      <c r="F5" s="49"/>
      <c r="G5" s="49"/>
      <c r="H5" s="49"/>
      <c r="I5" s="49"/>
      <c r="J5" s="49"/>
    </row>
    <row r="6" spans="2:10" ht="15" thickBot="1" x14ac:dyDescent="0.4">
      <c r="B6" s="2"/>
      <c r="C6" s="2"/>
      <c r="D6" s="2"/>
      <c r="E6" s="2"/>
      <c r="F6" s="2"/>
      <c r="G6" s="2"/>
      <c r="H6" s="2"/>
      <c r="I6" s="2"/>
      <c r="J6" s="2"/>
    </row>
    <row r="7" spans="2:10" ht="15" customHeight="1" x14ac:dyDescent="0.35">
      <c r="B7" s="8" t="s">
        <v>0</v>
      </c>
      <c r="C7" s="9">
        <v>5.0000000000000001E-3</v>
      </c>
      <c r="D7" s="12" t="s">
        <v>1</v>
      </c>
      <c r="E7" s="13"/>
      <c r="F7" s="13"/>
      <c r="G7" s="13"/>
      <c r="H7" s="13"/>
      <c r="I7" s="13"/>
      <c r="J7" s="14"/>
    </row>
    <row r="8" spans="2:10" ht="15" thickBot="1" x14ac:dyDescent="0.4">
      <c r="B8" s="10" t="s">
        <v>2</v>
      </c>
      <c r="C8" s="11">
        <v>5.0000000000000001E-3</v>
      </c>
      <c r="D8" s="34">
        <f>E8-$C$7</f>
        <v>3.0000000000000002E-2</v>
      </c>
      <c r="E8" s="35">
        <f>F8-$C$7</f>
        <v>3.5000000000000003E-2</v>
      </c>
      <c r="F8" s="35">
        <f>G8-$C$7</f>
        <v>0.04</v>
      </c>
      <c r="G8" s="38">
        <v>4.4999999999999998E-2</v>
      </c>
      <c r="H8" s="35">
        <f>G8+$C$7</f>
        <v>4.9999999999999996E-2</v>
      </c>
      <c r="I8" s="35">
        <f>H8+$C$7</f>
        <v>5.4999999999999993E-2</v>
      </c>
      <c r="J8" s="36">
        <f>I8+$C$7</f>
        <v>5.9999999999999991E-2</v>
      </c>
    </row>
    <row r="9" spans="2:10" ht="15" customHeight="1" x14ac:dyDescent="0.35">
      <c r="B9" s="50" t="s">
        <v>3</v>
      </c>
      <c r="C9" s="16">
        <f>C10-$C$8</f>
        <v>4.6500000000000007E-2</v>
      </c>
      <c r="D9" s="39">
        <f>IF($C9&gt;D$8,$C$5*(1+D$8)/($C9-D$8),"-")</f>
        <v>4671.2060606060595</v>
      </c>
      <c r="E9" s="40">
        <f t="shared" ref="D9:J15" si="0">IF($C9&gt;E$8,$C$5*(1+E$8)/($C9-E$8),"-")</f>
        <v>6734.6999999999971</v>
      </c>
      <c r="F9" s="40">
        <f t="shared" si="0"/>
        <v>11972.79999999999</v>
      </c>
      <c r="G9" s="40">
        <f t="shared" si="0"/>
        <v>52131.566666666367</v>
      </c>
      <c r="H9" s="40" t="str">
        <f t="shared" si="0"/>
        <v>-</v>
      </c>
      <c r="I9" s="40" t="str">
        <f t="shared" si="0"/>
        <v>-</v>
      </c>
      <c r="J9" s="41" t="str">
        <f t="shared" si="0"/>
        <v>-</v>
      </c>
    </row>
    <row r="10" spans="2:10" x14ac:dyDescent="0.35">
      <c r="B10" s="51"/>
      <c r="C10" s="3">
        <f>C11-$C$8</f>
        <v>5.1500000000000004E-2</v>
      </c>
      <c r="D10" s="42">
        <f t="shared" si="0"/>
        <v>3584.8790697674417</v>
      </c>
      <c r="E10" s="43">
        <f t="shared" si="0"/>
        <v>4693.8818181818169</v>
      </c>
      <c r="F10" s="43">
        <f t="shared" si="0"/>
        <v>6767.2347826086934</v>
      </c>
      <c r="G10" s="43">
        <f t="shared" si="0"/>
        <v>12030.361538461526</v>
      </c>
      <c r="H10" s="43">
        <f t="shared" si="0"/>
        <v>52380.999999999709</v>
      </c>
      <c r="I10" s="43" t="str">
        <f t="shared" si="0"/>
        <v>-</v>
      </c>
      <c r="J10" s="44" t="str">
        <f t="shared" si="0"/>
        <v>-</v>
      </c>
    </row>
    <row r="11" spans="2:10" x14ac:dyDescent="0.35">
      <c r="B11" s="51"/>
      <c r="C11" s="3">
        <f>C12-$C$8</f>
        <v>5.6500000000000002E-2</v>
      </c>
      <c r="D11" s="42">
        <f t="shared" si="0"/>
        <v>2908.4867924528303</v>
      </c>
      <c r="E11" s="43">
        <f t="shared" si="0"/>
        <v>3602.2813953488367</v>
      </c>
      <c r="F11" s="43">
        <f t="shared" si="0"/>
        <v>4716.5575757575753</v>
      </c>
      <c r="G11" s="43">
        <f t="shared" si="0"/>
        <v>6799.7695652173879</v>
      </c>
      <c r="H11" s="43">
        <f t="shared" si="0"/>
        <v>12087.923076923067</v>
      </c>
      <c r="I11" s="43">
        <f t="shared" si="0"/>
        <v>52630.433333333043</v>
      </c>
      <c r="J11" s="44" t="str">
        <f t="shared" si="0"/>
        <v>-</v>
      </c>
    </row>
    <row r="12" spans="2:10" x14ac:dyDescent="0.35">
      <c r="B12" s="51"/>
      <c r="C12" s="37">
        <v>6.1499999999999999E-2</v>
      </c>
      <c r="D12" s="42">
        <f t="shared" si="0"/>
        <v>2446.8222222222221</v>
      </c>
      <c r="E12" s="43">
        <f t="shared" si="0"/>
        <v>2922.6056603773586</v>
      </c>
      <c r="F12" s="43">
        <f t="shared" si="0"/>
        <v>3619.683720930233</v>
      </c>
      <c r="G12" s="43">
        <f>IF($C12&gt;G$8,$C$5*(1+G$8)/($C12-G$8),"-")</f>
        <v>4739.2333333333327</v>
      </c>
      <c r="H12" s="43">
        <f t="shared" si="0"/>
        <v>6832.3043478260852</v>
      </c>
      <c r="I12" s="43">
        <f t="shared" si="0"/>
        <v>12145.484615384605</v>
      </c>
      <c r="J12" s="44">
        <f t="shared" si="0"/>
        <v>52879.866666666378</v>
      </c>
    </row>
    <row r="13" spans="2:10" x14ac:dyDescent="0.35">
      <c r="B13" s="51"/>
      <c r="C13" s="3">
        <f>C12+$C$8</f>
        <v>6.6500000000000004E-2</v>
      </c>
      <c r="D13" s="42">
        <f t="shared" si="0"/>
        <v>2111.6410958904107</v>
      </c>
      <c r="E13" s="43">
        <f t="shared" si="0"/>
        <v>2458.6999999999994</v>
      </c>
      <c r="F13" s="43">
        <f t="shared" si="0"/>
        <v>2936.7245283018865</v>
      </c>
      <c r="G13" s="43">
        <f t="shared" si="0"/>
        <v>3637.0860465116266</v>
      </c>
      <c r="H13" s="43">
        <f t="shared" si="0"/>
        <v>4761.9090909090883</v>
      </c>
      <c r="I13" s="43">
        <f>IF($C13&gt;I$8,$C$5*(1+I$8)/($C13-I$8),"-")</f>
        <v>6864.839130434777</v>
      </c>
      <c r="J13" s="44">
        <f t="shared" si="0"/>
        <v>12203.04615384613</v>
      </c>
    </row>
    <row r="14" spans="2:10" x14ac:dyDescent="0.35">
      <c r="B14" s="51"/>
      <c r="C14" s="3">
        <f>C13+$C$8</f>
        <v>7.1500000000000008E-2</v>
      </c>
      <c r="D14" s="42">
        <f t="shared" si="0"/>
        <v>1857.2265060240959</v>
      </c>
      <c r="E14" s="43">
        <f t="shared" si="0"/>
        <v>2121.8917808219171</v>
      </c>
      <c r="F14" s="43">
        <f t="shared" si="0"/>
        <v>2470.5777777777771</v>
      </c>
      <c r="G14" s="43">
        <f t="shared" si="0"/>
        <v>2950.8433962264135</v>
      </c>
      <c r="H14" s="43">
        <f t="shared" si="0"/>
        <v>3654.4883720930211</v>
      </c>
      <c r="I14" s="43">
        <f t="shared" si="0"/>
        <v>4784.5848484848439</v>
      </c>
      <c r="J14" s="44">
        <f t="shared" si="0"/>
        <v>6897.3739130434678</v>
      </c>
    </row>
    <row r="15" spans="2:10" ht="15" thickBot="1" x14ac:dyDescent="0.4">
      <c r="B15" s="52"/>
      <c r="C15" s="15">
        <f>C14+$C$8</f>
        <v>7.6500000000000012E-2</v>
      </c>
      <c r="D15" s="45">
        <f t="shared" si="0"/>
        <v>1657.5247311827952</v>
      </c>
      <c r="E15" s="46">
        <f t="shared" si="0"/>
        <v>1866.242168674698</v>
      </c>
      <c r="F15" s="46">
        <f t="shared" si="0"/>
        <v>2132.1424657534239</v>
      </c>
      <c r="G15" s="46">
        <f t="shared" si="0"/>
        <v>2482.4555555555539</v>
      </c>
      <c r="H15" s="46">
        <f t="shared" si="0"/>
        <v>2964.9622641509413</v>
      </c>
      <c r="I15" s="46">
        <f t="shared" si="0"/>
        <v>3671.8906976744152</v>
      </c>
      <c r="J15" s="47">
        <f t="shared" si="0"/>
        <v>4807.2606060605995</v>
      </c>
    </row>
    <row r="18" spans="2:10" ht="15" thickBot="1" x14ac:dyDescent="0.4"/>
    <row r="19" spans="2:10" x14ac:dyDescent="0.35">
      <c r="B19" s="21" t="s">
        <v>4</v>
      </c>
      <c r="C19" s="18">
        <v>0.08</v>
      </c>
    </row>
    <row r="20" spans="2:10" x14ac:dyDescent="0.35">
      <c r="B20" s="22" t="s">
        <v>9</v>
      </c>
      <c r="C20" s="25">
        <v>6013</v>
      </c>
    </row>
    <row r="21" spans="2:10" ht="15" thickBot="1" x14ac:dyDescent="0.4">
      <c r="B21" s="23" t="s">
        <v>5</v>
      </c>
      <c r="C21" s="24">
        <v>0.06</v>
      </c>
    </row>
    <row r="22" spans="2:10" ht="15" thickBot="1" x14ac:dyDescent="0.4">
      <c r="B22" s="23" t="s">
        <v>6</v>
      </c>
      <c r="C22" s="33">
        <f>C5*(1+C21)/(C19-C21)</f>
        <v>3965.9899999999993</v>
      </c>
    </row>
    <row r="24" spans="2:10" ht="15" thickBot="1" x14ac:dyDescent="0.4"/>
    <row r="25" spans="2:10" ht="15" thickBot="1" x14ac:dyDescent="0.4">
      <c r="B25" s="59" t="s">
        <v>13</v>
      </c>
      <c r="C25" s="60"/>
      <c r="D25" s="60"/>
      <c r="E25" s="60"/>
      <c r="F25" s="60"/>
      <c r="G25" s="60"/>
      <c r="H25" s="60"/>
      <c r="I25" s="60"/>
      <c r="J25" s="61"/>
    </row>
    <row r="26" spans="2:10" x14ac:dyDescent="0.35">
      <c r="B26" s="17" t="s">
        <v>8</v>
      </c>
      <c r="C26" s="26">
        <f>C5</f>
        <v>74.83</v>
      </c>
      <c r="D26" s="27"/>
      <c r="E26" s="27"/>
      <c r="F26" s="27"/>
      <c r="G26" s="27"/>
      <c r="H26" s="27"/>
      <c r="I26" s="27"/>
      <c r="J26" s="28"/>
    </row>
    <row r="27" spans="2:10" x14ac:dyDescent="0.35">
      <c r="B27" s="19" t="s">
        <v>10</v>
      </c>
      <c r="C27" s="4">
        <f>C19</f>
        <v>0.08</v>
      </c>
      <c r="J27" s="20"/>
    </row>
    <row r="28" spans="2:10" x14ac:dyDescent="0.35">
      <c r="B28" s="19" t="s">
        <v>11</v>
      </c>
      <c r="C28" s="48">
        <v>6.6724932138153767E-2</v>
      </c>
      <c r="J28" s="20"/>
    </row>
    <row r="29" spans="2:10" ht="15" thickBot="1" x14ac:dyDescent="0.4">
      <c r="B29" s="29" t="s">
        <v>12</v>
      </c>
      <c r="C29" s="30">
        <f>C26*(1+C28)/(C27-C28)</f>
        <v>6013.0032857547012</v>
      </c>
      <c r="D29" s="31"/>
      <c r="E29" s="31"/>
      <c r="F29" s="31"/>
      <c r="G29" s="31"/>
      <c r="H29" s="31"/>
      <c r="I29" s="31"/>
      <c r="J29" s="32"/>
    </row>
    <row r="30" spans="2:10" x14ac:dyDescent="0.35">
      <c r="C30" s="5"/>
    </row>
  </sheetData>
  <mergeCells count="4">
    <mergeCell ref="D5:J5"/>
    <mergeCell ref="B9:B15"/>
    <mergeCell ref="B2:J3"/>
    <mergeCell ref="B25:J25"/>
  </mergeCells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1 - Price 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 Jacobs</cp:lastModifiedBy>
  <dcterms:created xsi:type="dcterms:W3CDTF">2024-02-20T20:50:31Z</dcterms:created>
  <dcterms:modified xsi:type="dcterms:W3CDTF">2026-03-09T03:11:37Z</dcterms:modified>
</cp:coreProperties>
</file>