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b7ba95c5857df4/Documents/01 CBS Courses/05 Cap Mkts/"/>
    </mc:Choice>
  </mc:AlternateContent>
  <xr:revisionPtr revIDLastSave="37" documentId="8_{DD6DD183-557F-4F9F-AD38-F08BD3160B57}" xr6:coauthVersionLast="47" xr6:coauthVersionMax="47" xr10:uidLastSave="{51186F78-D50E-47F5-A945-6E90291A371D}"/>
  <bookViews>
    <workbookView xWindow="-110" yWindow="-110" windowWidth="19420" windowHeight="11500" tabRatio="500" firstSheet="3" activeTab="4" xr2:uid="{00000000-000D-0000-FFFF-FFFF00000000}"/>
  </bookViews>
  <sheets>
    <sheet name="📋 Overview" sheetId="1" r:id="rId1"/>
    <sheet name="📊 Leverage &amp; Returns" sheetId="2" r:id="rId2"/>
    <sheet name="⚖️ Balance Sheet" sheetId="3" r:id="rId3"/>
    <sheet name="📅 Loan &amp; TVM" sheetId="4" r:id="rId4"/>
    <sheet name="💵 Bond Pricing" sheetId="5" r:id="rId5"/>
    <sheet name="📏 Duration" sheetId="6" r:id="rId6"/>
    <sheet name="📈 Equities &amp; DDM" sheetId="7" r:id="rId7"/>
    <sheet name="🔀 Portfolio Theory" sheetId="8" r:id="rId8"/>
    <sheet name="✂️ STRIPS" sheetId="9" r:id="rId9"/>
    <sheet name="🎯 MVE &amp; CAPM" sheetId="10" r:id="rId10"/>
    <sheet name="🛡️ Immunization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6" l="1"/>
  <c r="B27" i="6"/>
  <c r="M6" i="6"/>
  <c r="M5" i="6"/>
  <c r="M4" i="6"/>
  <c r="L5" i="6"/>
  <c r="L4" i="6"/>
  <c r="J6" i="6"/>
  <c r="B35" i="11"/>
  <c r="D29" i="11"/>
  <c r="A29" i="11"/>
  <c r="D28" i="11"/>
  <c r="A28" i="11"/>
  <c r="D27" i="11"/>
  <c r="A27" i="11"/>
  <c r="D26" i="11"/>
  <c r="A26" i="11"/>
  <c r="D25" i="11"/>
  <c r="A25" i="11"/>
  <c r="D24" i="11"/>
  <c r="A24" i="11"/>
  <c r="D23" i="11"/>
  <c r="A23" i="11"/>
  <c r="D22" i="11"/>
  <c r="A22" i="11"/>
  <c r="D21" i="11"/>
  <c r="A21" i="11"/>
  <c r="D20" i="11"/>
  <c r="A20" i="11"/>
  <c r="D19" i="11"/>
  <c r="A19" i="11"/>
  <c r="D18" i="11"/>
  <c r="A18" i="11"/>
  <c r="D17" i="11"/>
  <c r="A17" i="11"/>
  <c r="D16" i="11"/>
  <c r="D31" i="11" s="1"/>
  <c r="A16" i="11"/>
  <c r="D15" i="11"/>
  <c r="A15" i="11"/>
  <c r="D14" i="11"/>
  <c r="A14" i="11"/>
  <c r="D13" i="11"/>
  <c r="A13" i="11"/>
  <c r="D12" i="11"/>
  <c r="A12" i="11"/>
  <c r="D11" i="11"/>
  <c r="A11" i="11"/>
  <c r="D10" i="11"/>
  <c r="A10" i="11"/>
  <c r="C61" i="10"/>
  <c r="B61" i="10"/>
  <c r="C60" i="10"/>
  <c r="C59" i="10"/>
  <c r="B54" i="10"/>
  <c r="B55" i="10" s="1"/>
  <c r="B53" i="10"/>
  <c r="B52" i="10"/>
  <c r="B51" i="10"/>
  <c r="C58" i="10" s="1"/>
  <c r="B43" i="10"/>
  <c r="B42" i="10"/>
  <c r="B39" i="10"/>
  <c r="B41" i="10" s="1"/>
  <c r="B12" i="10"/>
  <c r="B11" i="10"/>
  <c r="B9" i="10"/>
  <c r="B77" i="9"/>
  <c r="B76" i="9"/>
  <c r="B71" i="9"/>
  <c r="B57" i="9"/>
  <c r="B58" i="9" s="1"/>
  <c r="E53" i="9"/>
  <c r="D53" i="9"/>
  <c r="F53" i="9" s="1"/>
  <c r="B53" i="9"/>
  <c r="E52" i="9"/>
  <c r="F52" i="9" s="1"/>
  <c r="D52" i="9"/>
  <c r="B52" i="9"/>
  <c r="B75" i="9" s="1"/>
  <c r="E51" i="9"/>
  <c r="D51" i="9"/>
  <c r="F51" i="9" s="1"/>
  <c r="B51" i="9"/>
  <c r="F50" i="9"/>
  <c r="E50" i="9"/>
  <c r="D50" i="9"/>
  <c r="B50" i="9"/>
  <c r="E49" i="9"/>
  <c r="F49" i="9" s="1"/>
  <c r="D49" i="9"/>
  <c r="B49" i="9"/>
  <c r="F48" i="9"/>
  <c r="E48" i="9"/>
  <c r="D48" i="9"/>
  <c r="B48" i="9"/>
  <c r="E47" i="9"/>
  <c r="D47" i="9"/>
  <c r="B47" i="9"/>
  <c r="E46" i="9"/>
  <c r="D46" i="9"/>
  <c r="F46" i="9" s="1"/>
  <c r="B46" i="9"/>
  <c r="E45" i="9"/>
  <c r="F45" i="9" s="1"/>
  <c r="D45" i="9"/>
  <c r="B45" i="9"/>
  <c r="E44" i="9"/>
  <c r="D44" i="9"/>
  <c r="F44" i="9" s="1"/>
  <c r="B44" i="9"/>
  <c r="H37" i="9"/>
  <c r="G37" i="9"/>
  <c r="F37" i="9"/>
  <c r="E37" i="9"/>
  <c r="D37" i="9"/>
  <c r="C37" i="9"/>
  <c r="H36" i="9"/>
  <c r="G36" i="9"/>
  <c r="F36" i="9"/>
  <c r="E36" i="9"/>
  <c r="D36" i="9"/>
  <c r="C36" i="9"/>
  <c r="H35" i="9"/>
  <c r="G35" i="9"/>
  <c r="F35" i="9"/>
  <c r="E35" i="9"/>
  <c r="D35" i="9"/>
  <c r="C35" i="9"/>
  <c r="H34" i="9"/>
  <c r="G34" i="9"/>
  <c r="F34" i="9"/>
  <c r="E34" i="9"/>
  <c r="D34" i="9"/>
  <c r="C34" i="9"/>
  <c r="B18" i="9"/>
  <c r="B25" i="9" s="1"/>
  <c r="B10" i="9"/>
  <c r="B11" i="9" s="1"/>
  <c r="B12" i="9" s="1"/>
  <c r="B48" i="8"/>
  <c r="B47" i="8"/>
  <c r="B46" i="8"/>
  <c r="B45" i="8"/>
  <c r="B43" i="8"/>
  <c r="B31" i="8"/>
  <c r="B30" i="8"/>
  <c r="B29" i="8"/>
  <c r="B32" i="8" s="1"/>
  <c r="B33" i="8" s="1"/>
  <c r="B35" i="8" s="1"/>
  <c r="B28" i="8"/>
  <c r="B13" i="8"/>
  <c r="B14" i="8" s="1"/>
  <c r="B16" i="8" s="1"/>
  <c r="B12" i="8"/>
  <c r="B9" i="8"/>
  <c r="B44" i="7"/>
  <c r="B43" i="7"/>
  <c r="D35" i="7"/>
  <c r="C35" i="7"/>
  <c r="B35" i="7"/>
  <c r="A35" i="7"/>
  <c r="E34" i="7"/>
  <c r="D34" i="7"/>
  <c r="C34" i="7"/>
  <c r="B34" i="7"/>
  <c r="A34" i="7"/>
  <c r="F33" i="7"/>
  <c r="E33" i="7"/>
  <c r="B33" i="7"/>
  <c r="A33" i="7"/>
  <c r="F32" i="7"/>
  <c r="E32" i="7"/>
  <c r="C32" i="7"/>
  <c r="B32" i="7"/>
  <c r="A32" i="7"/>
  <c r="F31" i="7"/>
  <c r="E31" i="7"/>
  <c r="D31" i="7"/>
  <c r="C31" i="7"/>
  <c r="A31" i="7"/>
  <c r="F30" i="7"/>
  <c r="E30" i="7"/>
  <c r="D30" i="7"/>
  <c r="C30" i="7"/>
  <c r="B30" i="7"/>
  <c r="F34" i="7" s="1"/>
  <c r="B20" i="7"/>
  <c r="B14" i="7"/>
  <c r="B8" i="7"/>
  <c r="B7" i="7"/>
  <c r="B35" i="6"/>
  <c r="B30" i="6"/>
  <c r="B32" i="6" s="1"/>
  <c r="A21" i="6"/>
  <c r="C21" i="6" s="1"/>
  <c r="D21" i="6" s="1"/>
  <c r="A20" i="6"/>
  <c r="B19" i="6"/>
  <c r="A19" i="6"/>
  <c r="C19" i="6" s="1"/>
  <c r="D19" i="6" s="1"/>
  <c r="A18" i="6"/>
  <c r="C18" i="6" s="1"/>
  <c r="D18" i="6" s="1"/>
  <c r="A17" i="6"/>
  <c r="C17" i="6" s="1"/>
  <c r="D17" i="6" s="1"/>
  <c r="C16" i="6"/>
  <c r="D16" i="6" s="1"/>
  <c r="B16" i="6"/>
  <c r="A16" i="6"/>
  <c r="C15" i="6"/>
  <c r="D15" i="6" s="1"/>
  <c r="B15" i="6"/>
  <c r="A15" i="6"/>
  <c r="A14" i="6"/>
  <c r="C14" i="6" s="1"/>
  <c r="D14" i="6" s="1"/>
  <c r="A13" i="6"/>
  <c r="C13" i="6" s="1"/>
  <c r="D13" i="6" s="1"/>
  <c r="A12" i="6"/>
  <c r="C12" i="6" s="1"/>
  <c r="D12" i="6" s="1"/>
  <c r="B38" i="5"/>
  <c r="D26" i="5"/>
  <c r="B26" i="5"/>
  <c r="A26" i="5"/>
  <c r="A25" i="5"/>
  <c r="E25" i="5" s="1"/>
  <c r="A24" i="5"/>
  <c r="D24" i="5" s="1"/>
  <c r="E23" i="5"/>
  <c r="D23" i="5"/>
  <c r="F23" i="5" s="1"/>
  <c r="A23" i="5"/>
  <c r="B23" i="5" s="1"/>
  <c r="A22" i="5"/>
  <c r="D22" i="5" s="1"/>
  <c r="A21" i="5"/>
  <c r="E20" i="5"/>
  <c r="A20" i="5"/>
  <c r="D20" i="5" s="1"/>
  <c r="D19" i="5"/>
  <c r="B19" i="5"/>
  <c r="A19" i="5"/>
  <c r="B18" i="5"/>
  <c r="A18" i="5"/>
  <c r="A17" i="5"/>
  <c r="B12" i="5"/>
  <c r="B11" i="5"/>
  <c r="B39" i="5" s="1"/>
  <c r="B40" i="5" s="1"/>
  <c r="B71" i="4"/>
  <c r="A71" i="4"/>
  <c r="F70" i="4"/>
  <c r="B70" i="4"/>
  <c r="A70" i="4"/>
  <c r="F69" i="4"/>
  <c r="E69" i="4"/>
  <c r="D69" i="4"/>
  <c r="B69" i="4"/>
  <c r="C69" i="4" s="1"/>
  <c r="A69" i="4"/>
  <c r="F68" i="4"/>
  <c r="E68" i="4"/>
  <c r="D68" i="4"/>
  <c r="B68" i="4"/>
  <c r="C68" i="4" s="1"/>
  <c r="A68" i="4"/>
  <c r="F67" i="4"/>
  <c r="E67" i="4"/>
  <c r="D67" i="4"/>
  <c r="C67" i="4"/>
  <c r="B67" i="4"/>
  <c r="A67" i="4"/>
  <c r="D66" i="4"/>
  <c r="C66" i="4"/>
  <c r="B66" i="4"/>
  <c r="A66" i="4"/>
  <c r="B65" i="4"/>
  <c r="C65" i="4" s="1"/>
  <c r="A65" i="4"/>
  <c r="B64" i="4"/>
  <c r="A64" i="4"/>
  <c r="B63" i="4"/>
  <c r="A63" i="4"/>
  <c r="F62" i="4"/>
  <c r="E62" i="4"/>
  <c r="D62" i="4"/>
  <c r="B62" i="4"/>
  <c r="C62" i="4" s="1"/>
  <c r="A62" i="4"/>
  <c r="F61" i="4"/>
  <c r="E61" i="4"/>
  <c r="D61" i="4"/>
  <c r="B61" i="4"/>
  <c r="C61" i="4" s="1"/>
  <c r="A61" i="4"/>
  <c r="F60" i="4"/>
  <c r="E60" i="4"/>
  <c r="D60" i="4"/>
  <c r="C60" i="4"/>
  <c r="B60" i="4"/>
  <c r="A60" i="4"/>
  <c r="D59" i="4"/>
  <c r="C59" i="4"/>
  <c r="B59" i="4"/>
  <c r="A59" i="4"/>
  <c r="B58" i="4"/>
  <c r="D58" i="4" s="1"/>
  <c r="A58" i="4"/>
  <c r="B57" i="4"/>
  <c r="A57" i="4"/>
  <c r="B56" i="4"/>
  <c r="A56" i="4"/>
  <c r="F55" i="4"/>
  <c r="E55" i="4"/>
  <c r="D55" i="4"/>
  <c r="B55" i="4"/>
  <c r="C55" i="4" s="1"/>
  <c r="A55" i="4"/>
  <c r="F54" i="4"/>
  <c r="E54" i="4"/>
  <c r="D54" i="4"/>
  <c r="B54" i="4"/>
  <c r="C54" i="4" s="1"/>
  <c r="A54" i="4"/>
  <c r="B53" i="4"/>
  <c r="D53" i="4" s="1"/>
  <c r="A53" i="4"/>
  <c r="B52" i="4"/>
  <c r="C52" i="4" s="1"/>
  <c r="A52" i="4"/>
  <c r="B51" i="4"/>
  <c r="C51" i="4" s="1"/>
  <c r="A51" i="4"/>
  <c r="B50" i="4"/>
  <c r="A50" i="4"/>
  <c r="B49" i="4"/>
  <c r="F49" i="4" s="1"/>
  <c r="A49" i="4"/>
  <c r="F48" i="4"/>
  <c r="E48" i="4"/>
  <c r="D48" i="4"/>
  <c r="B48" i="4"/>
  <c r="C48" i="4" s="1"/>
  <c r="A48" i="4"/>
  <c r="F47" i="4"/>
  <c r="E47" i="4"/>
  <c r="D47" i="4"/>
  <c r="B47" i="4"/>
  <c r="C47" i="4" s="1"/>
  <c r="A47" i="4"/>
  <c r="F46" i="4"/>
  <c r="E46" i="4"/>
  <c r="D46" i="4"/>
  <c r="B46" i="4"/>
  <c r="C46" i="4" s="1"/>
  <c r="A46" i="4"/>
  <c r="B45" i="4"/>
  <c r="A45" i="4"/>
  <c r="D44" i="4"/>
  <c r="C44" i="4"/>
  <c r="B44" i="4"/>
  <c r="A44" i="4"/>
  <c r="B43" i="4"/>
  <c r="F43" i="4" s="1"/>
  <c r="A43" i="4"/>
  <c r="B42" i="4"/>
  <c r="A42" i="4"/>
  <c r="B39" i="4"/>
  <c r="D31" i="4"/>
  <c r="D25" i="4"/>
  <c r="D20" i="4"/>
  <c r="D14" i="4"/>
  <c r="D8" i="4"/>
  <c r="B18" i="3"/>
  <c r="B17" i="3"/>
  <c r="B16" i="3"/>
  <c r="E11" i="3"/>
  <c r="B11" i="3"/>
  <c r="E12" i="3" s="1"/>
  <c r="B36" i="2"/>
  <c r="B35" i="2"/>
  <c r="C29" i="2"/>
  <c r="C28" i="2"/>
  <c r="C24" i="2"/>
  <c r="C23" i="2"/>
  <c r="C22" i="2"/>
  <c r="B29" i="2" s="1"/>
  <c r="B22" i="2"/>
  <c r="C21" i="2"/>
  <c r="B24" i="2" s="1"/>
  <c r="B21" i="2"/>
  <c r="C20" i="2"/>
  <c r="B20" i="2"/>
  <c r="C19" i="2"/>
  <c r="B19" i="2"/>
  <c r="C18" i="2"/>
  <c r="B23" i="2" s="1"/>
  <c r="B18" i="2"/>
  <c r="C17" i="2"/>
  <c r="B17" i="2"/>
  <c r="C16" i="2"/>
  <c r="B16" i="2"/>
  <c r="B6" i="1"/>
  <c r="E19" i="5" l="1"/>
  <c r="F19" i="5" s="1"/>
  <c r="F20" i="5"/>
  <c r="E24" i="11"/>
  <c r="F24" i="11" s="1"/>
  <c r="E17" i="11"/>
  <c r="F17" i="11" s="1"/>
  <c r="E10" i="11"/>
  <c r="F10" i="11" s="1"/>
  <c r="E27" i="11"/>
  <c r="F27" i="11" s="1"/>
  <c r="E20" i="11"/>
  <c r="F20" i="11" s="1"/>
  <c r="E13" i="11"/>
  <c r="F13" i="11" s="1"/>
  <c r="E29" i="11"/>
  <c r="F29" i="11" s="1"/>
  <c r="E22" i="11"/>
  <c r="F22" i="11" s="1"/>
  <c r="E15" i="11"/>
  <c r="F15" i="11" s="1"/>
  <c r="E25" i="11"/>
  <c r="F25" i="11" s="1"/>
  <c r="E18" i="11"/>
  <c r="F18" i="11" s="1"/>
  <c r="E11" i="11"/>
  <c r="F11" i="11" s="1"/>
  <c r="E28" i="11"/>
  <c r="F28" i="11" s="1"/>
  <c r="E21" i="11"/>
  <c r="F21" i="11" s="1"/>
  <c r="E14" i="11"/>
  <c r="F14" i="11" s="1"/>
  <c r="E19" i="11"/>
  <c r="F19" i="11" s="1"/>
  <c r="E12" i="11"/>
  <c r="F12" i="11" s="1"/>
  <c r="E26" i="11"/>
  <c r="F26" i="11" s="1"/>
  <c r="E16" i="11"/>
  <c r="F16" i="11" s="1"/>
  <c r="E23" i="11"/>
  <c r="F23" i="11" s="1"/>
  <c r="E56" i="4"/>
  <c r="D56" i="4"/>
  <c r="C56" i="4"/>
  <c r="F64" i="4"/>
  <c r="E64" i="4"/>
  <c r="D64" i="4"/>
  <c r="C64" i="4"/>
  <c r="B13" i="6"/>
  <c r="F71" i="4"/>
  <c r="E71" i="4"/>
  <c r="D71" i="4"/>
  <c r="C71" i="4"/>
  <c r="C30" i="2"/>
  <c r="C31" i="2" s="1"/>
  <c r="E18" i="5"/>
  <c r="D18" i="5"/>
  <c r="F18" i="5" s="1"/>
  <c r="E22" i="5"/>
  <c r="F22" i="5" s="1"/>
  <c r="B50" i="8"/>
  <c r="B49" i="8"/>
  <c r="B51" i="8" s="1"/>
  <c r="E50" i="4"/>
  <c r="D50" i="4"/>
  <c r="C50" i="4"/>
  <c r="E53" i="4"/>
  <c r="F56" i="4"/>
  <c r="E63" i="4"/>
  <c r="D63" i="4"/>
  <c r="C63" i="4"/>
  <c r="B12" i="6"/>
  <c r="B21" i="6"/>
  <c r="F44" i="4"/>
  <c r="E44" i="4"/>
  <c r="F50" i="4"/>
  <c r="F53" i="4"/>
  <c r="F63" i="4"/>
  <c r="E70" i="4"/>
  <c r="D70" i="4"/>
  <c r="C70" i="4"/>
  <c r="E43" i="4"/>
  <c r="D43" i="4"/>
  <c r="C43" i="4"/>
  <c r="C20" i="6"/>
  <c r="D20" i="6" s="1"/>
  <c r="B23" i="6" s="1"/>
  <c r="B20" i="6"/>
  <c r="F57" i="4"/>
  <c r="E57" i="4"/>
  <c r="D57" i="4"/>
  <c r="C57" i="4"/>
  <c r="B28" i="2"/>
  <c r="F51" i="4"/>
  <c r="E51" i="4"/>
  <c r="B25" i="5"/>
  <c r="F45" i="4"/>
  <c r="E45" i="4"/>
  <c r="D51" i="4"/>
  <c r="C58" i="4"/>
  <c r="B14" i="6"/>
  <c r="C45" i="4"/>
  <c r="E24" i="5"/>
  <c r="F24" i="5" s="1"/>
  <c r="B32" i="5"/>
  <c r="E21" i="5"/>
  <c r="D21" i="5"/>
  <c r="B21" i="5"/>
  <c r="D45" i="4"/>
  <c r="B13" i="5"/>
  <c r="F59" i="4"/>
  <c r="E59" i="4"/>
  <c r="E17" i="5"/>
  <c r="D17" i="5"/>
  <c r="F17" i="5" s="1"/>
  <c r="B17" i="5"/>
  <c r="B22" i="5"/>
  <c r="F47" i="9"/>
  <c r="B54" i="9" s="1"/>
  <c r="B74" i="9" s="1"/>
  <c r="E49" i="4"/>
  <c r="D49" i="4"/>
  <c r="C49" i="4"/>
  <c r="C53" i="4"/>
  <c r="F58" i="4"/>
  <c r="E58" i="4"/>
  <c r="F65" i="4"/>
  <c r="E65" i="4"/>
  <c r="D25" i="5"/>
  <c r="F25" i="5" s="1"/>
  <c r="F52" i="4"/>
  <c r="E52" i="4"/>
  <c r="D65" i="4"/>
  <c r="D42" i="4"/>
  <c r="C42" i="4"/>
  <c r="E42" i="4" s="1"/>
  <c r="F42" i="4" s="1"/>
  <c r="D52" i="4"/>
  <c r="F66" i="4"/>
  <c r="E66" i="4"/>
  <c r="E26" i="5"/>
  <c r="F26" i="5" s="1"/>
  <c r="B14" i="10"/>
  <c r="B24" i="5"/>
  <c r="B69" i="9"/>
  <c r="B18" i="6"/>
  <c r="C33" i="7"/>
  <c r="E35" i="7"/>
  <c r="B31" i="7"/>
  <c r="D33" i="7"/>
  <c r="F35" i="7"/>
  <c r="B20" i="5"/>
  <c r="B17" i="6"/>
  <c r="D32" i="7"/>
  <c r="E19" i="6" l="1"/>
  <c r="F19" i="6" s="1"/>
  <c r="E12" i="6"/>
  <c r="F12" i="6" s="1"/>
  <c r="E21" i="6"/>
  <c r="F21" i="6" s="1"/>
  <c r="E14" i="6"/>
  <c r="F14" i="6" s="1"/>
  <c r="E20" i="6"/>
  <c r="F20" i="6" s="1"/>
  <c r="E13" i="6"/>
  <c r="F13" i="6" s="1"/>
  <c r="E15" i="6"/>
  <c r="F15" i="6" s="1"/>
  <c r="E17" i="6"/>
  <c r="F17" i="6" s="1"/>
  <c r="E16" i="6"/>
  <c r="F16" i="6" s="1"/>
  <c r="E18" i="6"/>
  <c r="F18" i="6" s="1"/>
  <c r="B36" i="6"/>
  <c r="B15" i="10"/>
  <c r="B19" i="10" s="1"/>
  <c r="B20" i="10" s="1"/>
  <c r="B27" i="5"/>
  <c r="B34" i="11"/>
  <c r="B36" i="11" s="1"/>
  <c r="B30" i="2"/>
  <c r="B31" i="2"/>
  <c r="F21" i="5"/>
  <c r="B25" i="6" l="1"/>
  <c r="B26" i="6" s="1"/>
  <c r="B33" i="6" s="1"/>
  <c r="B34" i="6" s="1"/>
  <c r="B25" i="10"/>
  <c r="B21" i="10"/>
  <c r="B38" i="11"/>
  <c r="B37" i="11"/>
  <c r="B39" i="11" s="1"/>
  <c r="B18" i="10"/>
  <c r="B28" i="10" l="1"/>
  <c r="B27" i="10"/>
  <c r="B26" i="10"/>
  <c r="B33" i="10" s="1"/>
  <c r="B31" i="10"/>
  <c r="B32" i="10"/>
  <c r="B40" i="11"/>
  <c r="B29" i="10" l="1"/>
</calcChain>
</file>

<file path=xl/sharedStrings.xml><?xml version="1.0" encoding="utf-8"?>
<sst xmlns="http://schemas.openxmlformats.org/spreadsheetml/2006/main" count="479" uniqueCount="386">
  <si>
    <t>B8306 Capital Markets — Midterm Formula &amp; Calculator Workbook</t>
  </si>
  <si>
    <t>Prof. Simon Oh  |  Columbia Business School  |  Spring 2026</t>
  </si>
  <si>
    <t>HOW TO USE:</t>
  </si>
  <si>
    <t>• Yellow cells = INPUT (type your numbers here)</t>
  </si>
  <si>
    <t>← INPUT</t>
  </si>
  <si>
    <t>• White cells with black text = FORMULA (auto-calculated)</t>
  </si>
  <si>
    <t>• Navigate using tabs at the bottom or the links below</t>
  </si>
  <si>
    <t>SHEETS</t>
  </si>
  <si>
    <t>1</t>
  </si>
  <si>
    <t>⚖️ Balance Sheet</t>
  </si>
  <si>
    <t>Leverage, assets, debt, equity</t>
  </si>
  <si>
    <t>2</t>
  </si>
  <si>
    <t>📅 Loan &amp; TVM</t>
  </si>
  <si>
    <t>Amortization, PV/FV, annuities, perpetuities</t>
  </si>
  <si>
    <t>3</t>
  </si>
  <si>
    <t>💵 Bond Pricing</t>
  </si>
  <si>
    <t>Coupon/zero pricing with spot rates, YTM via IRR</t>
  </si>
  <si>
    <t>4</t>
  </si>
  <si>
    <t>📏 Duration</t>
  </si>
  <si>
    <t>Macaulay &amp; Modified duration, price sensitivity</t>
  </si>
  <si>
    <t>5</t>
  </si>
  <si>
    <t>📈 Equities &amp; DDM</t>
  </si>
  <si>
    <t>Gordon growth model, implied growth/return</t>
  </si>
  <si>
    <t>6</t>
  </si>
  <si>
    <t>🔀 Portfolio Theory</t>
  </si>
  <si>
    <t>2-asset &amp; 3-asset: return, vol, correlation</t>
  </si>
  <si>
    <t>7</t>
  </si>
  <si>
    <t>🎯 MVE &amp; CAPM</t>
  </si>
  <si>
    <t>Optimal risky portfolio, Sharpe ratio, beta, SML</t>
  </si>
  <si>
    <t>7.5</t>
  </si>
  <si>
    <t>✂️ STRIPS</t>
  </si>
  <si>
    <t>Zero pricing, spot rates, sensitivity, coupon pricing, save-for-goal comparisons</t>
  </si>
  <si>
    <t>8</t>
  </si>
  <si>
    <t>🛡️ Immunization</t>
  </si>
  <si>
    <t>Cash + zero matching to immunize liabilities</t>
  </si>
  <si>
    <t>Leverage, Expected Return &amp; Volatility on Equity  (Maria's Decision)</t>
  </si>
  <si>
    <t>Key insight: Borrowing to invest amplifies BOTH expected returns AND volatility. Return on equity = (Payoff - Debt×(1+r)) / Equity</t>
  </si>
  <si>
    <t>INPUTS — Asset &amp; Financing</t>
  </si>
  <si>
    <t>Parameter</t>
  </si>
  <si>
    <t>Value</t>
  </si>
  <si>
    <t>Notes</t>
  </si>
  <si>
    <t>Asset return — UP scenario</t>
  </si>
  <si>
    <t>e.g. mutual fund up 15%</t>
  </si>
  <si>
    <t>Asset return — DOWN scenario</t>
  </si>
  <si>
    <t>e.g. mutual fund down 5%</t>
  </si>
  <si>
    <t>Probability of UP scenario</t>
  </si>
  <si>
    <t>Borrowing / debt interest rate</t>
  </si>
  <si>
    <t>student loan rate</t>
  </si>
  <si>
    <t>Total Investment (assets purchased, $)</t>
  </si>
  <si>
    <t>Equity (own money invested, $)</t>
  </si>
  <si>
    <t>Total - Debt</t>
  </si>
  <si>
    <t>Debt (borrowed, $)</t>
  </si>
  <si>
    <t>Total - Equity</t>
  </si>
  <si>
    <t>PAYOFFS &amp; RETURNS ON EQUITY</t>
  </si>
  <si>
    <t>No Leverage (Equity = Investment)</t>
  </si>
  <si>
    <t>With Leverage (Debt-Financed)</t>
  </si>
  <si>
    <t>Equity invested</t>
  </si>
  <si>
    <t>Total assets purchased</t>
  </si>
  <si>
    <t>Debt</t>
  </si>
  <si>
    <t>Asset payoff — UP</t>
  </si>
  <si>
    <t>Asset payoff — DOWN</t>
  </si>
  <si>
    <t>Debt repayment (principal + interest)</t>
  </si>
  <si>
    <t>🔷 Equity payoff — UP (asset payoff − debt repay)</t>
  </si>
  <si>
    <t>🔷 Equity payoff — DOWN</t>
  </si>
  <si>
    <t>Expected equity payoff  (p×Up + (1−p)×Down)</t>
  </si>
  <si>
    <t>RETURNS ON EQUITY</t>
  </si>
  <si>
    <t>No Leverage</t>
  </si>
  <si>
    <t>With Leverage</t>
  </si>
  <si>
    <t>Return in UP scenario  = (Payoff_UP / Equity) − 1</t>
  </si>
  <si>
    <t>Return in DOWN scenario</t>
  </si>
  <si>
    <t>🔷 Expected return on equity</t>
  </si>
  <si>
    <t>🔷 Volatility of return  (p×(Rup−E)² + (1−p)×(Rdn−E)²)^0.5</t>
  </si>
  <si>
    <t>KEY RELATIONSHIPS (lecture formulas)</t>
  </si>
  <si>
    <t>E[R_equity] = E[R_asset] + (Debt/Equity) × (E[R_asset] − r_debt)</t>
  </si>
  <si>
    <t>Leverage ratio (Debt / Equity)</t>
  </si>
  <si>
    <t>σ(R_equity) = (Total Assets / Equity) × σ(R_asset)</t>
  </si>
  <si>
    <t>Volatility scales with assets/equity (leverage multiplier). Risk-free debt does not add variance — only asset volatility matters.</t>
  </si>
  <si>
    <t>Balance Sheet &amp; Leverage Calculator</t>
  </si>
  <si>
    <t>ASSETS</t>
  </si>
  <si>
    <t>LIABILITIES &amp; EQUITY</t>
  </si>
  <si>
    <t>Item</t>
  </si>
  <si>
    <t>Amount ($)</t>
  </si>
  <si>
    <t>Include?</t>
  </si>
  <si>
    <t>Cash / Bank</t>
  </si>
  <si>
    <t>Y</t>
  </si>
  <si>
    <t>Student Loan</t>
  </si>
  <si>
    <t>Stock Investments</t>
  </si>
  <si>
    <t>Mortgage</t>
  </si>
  <si>
    <t>Retirement Savings</t>
  </si>
  <si>
    <t>Other Loan 1</t>
  </si>
  <si>
    <t>Real Estate</t>
  </si>
  <si>
    <t>Other Loan 2</t>
  </si>
  <si>
    <t>Other Asset</t>
  </si>
  <si>
    <t>TOTAL ASSETS (incl. all)</t>
  </si>
  <si>
    <t>TOTAL DEBT</t>
  </si>
  <si>
    <t>TOTAL EQUITY</t>
  </si>
  <si>
    <t>LEVERAGE METRICS</t>
  </si>
  <si>
    <t>Note: To compute leverage EXCLUDING retirement savings, set 'Include?' = N for that row</t>
  </si>
  <si>
    <t>Debt / Equity (full balance sheet)</t>
  </si>
  <si>
    <t>Debt / Assets</t>
  </si>
  <si>
    <t>Equity / Assets</t>
  </si>
  <si>
    <t>Loan, TVM &amp; Amortization Calculator</t>
  </si>
  <si>
    <t>TIME VALUE OF MONEY</t>
  </si>
  <si>
    <t>PV of lump sum</t>
  </si>
  <si>
    <t>FV</t>
  </si>
  <si>
    <t>Rate (per period)</t>
  </si>
  <si>
    <t>Periods</t>
  </si>
  <si>
    <t>RESULT:</t>
  </si>
  <si>
    <t>→</t>
  </si>
  <si>
    <t>FV of lump sum</t>
  </si>
  <si>
    <t>PV</t>
  </si>
  <si>
    <t>PV of annuity</t>
  </si>
  <si>
    <t>Payment</t>
  </si>
  <si>
    <t>PV of perpetuity</t>
  </si>
  <si>
    <t>FV of annuity</t>
  </si>
  <si>
    <t>LOAN AMORTIZATION SCHEDULE</t>
  </si>
  <si>
    <t>Loan Amount</t>
  </si>
  <si>
    <t>Annual Rate</t>
  </si>
  <si>
    <t>Years</t>
  </si>
  <si>
    <t>Payments/Year</t>
  </si>
  <si>
    <t>Annual Payment</t>
  </si>
  <si>
    <t>Period</t>
  </si>
  <si>
    <t>Beg. Balance</t>
  </si>
  <si>
    <t>Interest</t>
  </si>
  <si>
    <t>Principal</t>
  </si>
  <si>
    <t>End Balance</t>
  </si>
  <si>
    <t>Bond Pricing with Spot Rates &amp; YTM Calculator</t>
  </si>
  <si>
    <t>BOND INPUTS</t>
  </si>
  <si>
    <t>Face Value (Par)</t>
  </si>
  <si>
    <t>Annual Coupon Rate</t>
  </si>
  <si>
    <t>Maturity (years)</t>
  </si>
  <si>
    <t>Periods per Year</t>
  </si>
  <si>
    <t>Flat YTM (annual, for pricing)</t>
  </si>
  <si>
    <t>RESULTS</t>
  </si>
  <si>
    <t>Coupon per period</t>
  </si>
  <si>
    <t>Total periods</t>
  </si>
  <si>
    <t>Price (from flat YTM)</t>
  </si>
  <si>
    <t>PRICE FROM SPOT RATES (up to 10 periods)</t>
  </si>
  <si>
    <t>Time (yr)</t>
  </si>
  <si>
    <t>Spot Rate (annual)</t>
  </si>
  <si>
    <t>Discount Factor</t>
  </si>
  <si>
    <t>Cash Flow</t>
  </si>
  <si>
    <t>PV of CF</t>
  </si>
  <si>
    <t>Bond Price from Spot Rates</t>
  </si>
  <si>
    <t>YTM FROM CASH FLOWS (XIRR / IRR approach)</t>
  </si>
  <si>
    <t>Market Price (paid today, negative)</t>
  </si>
  <si>
    <t>Note: Period 0 CF = -Price, then coupons, then coupon+par at maturity</t>
  </si>
  <si>
    <t>YTM (semi-annual, annualized)</t>
  </si>
  <si>
    <t>YIELD FROM PRICE — Coupon Bond (uses inputs from BOND INPUTS above)</t>
  </si>
  <si>
    <t>Enter the observed market price below. YTM is solved via the bond pricing formula.</t>
  </si>
  <si>
    <t>Market Price (positive)</t>
  </si>
  <si>
    <t>Uses: Face Value, Coupon Rate, Maturity, Periods/Year from BOND INPUTS (rows 4-7)</t>
  </si>
  <si>
    <t>🔷 YTM (annual, semi-annual compounding)</t>
  </si>
  <si>
    <t>Verify: Price back-calculated from YTM</t>
  </si>
  <si>
    <t>Difference (should be ~0)</t>
  </si>
  <si>
    <t>YTM FROM CUSTOM CASH FLOW STREAM (any bond — enter each period CF)</t>
  </si>
  <si>
    <t>Enter the full cash flow row: period 0 = −Price (negative), then coupon payments, final period = coupon + par. IRR × periods/year = annual YTM.</t>
  </si>
  <si>
    <t>Periods per year (for annualizing)</t>
  </si>
  <si>
    <t>Note: Enter CF in row below (up to 14 periods including period 0)</t>
  </si>
  <si>
    <t>Per 0
(−Price)</t>
  </si>
  <si>
    <t>Per 1</t>
  </si>
  <si>
    <t>Per 2</t>
  </si>
  <si>
    <t>Per 3</t>
  </si>
  <si>
    <t>Per 4</t>
  </si>
  <si>
    <t>Per 5</t>
  </si>
  <si>
    <t>Per 6</t>
  </si>
  <si>
    <t>Per 7</t>
  </si>
  <si>
    <t>Per 8</t>
  </si>
  <si>
    <t>Per 9</t>
  </si>
  <si>
    <t>Per 10</t>
  </si>
  <si>
    <t>Per 11</t>
  </si>
  <si>
    <t>Per 12</t>
  </si>
  <si>
    <t>Per 13</t>
  </si>
  <si>
    <t>🔷 YTM (annualized via IRR × periods/yr)</t>
  </si>
  <si>
    <t>Semi-annual period rate (IRR)</t>
  </si>
  <si>
    <t>Duration (Macaulay &amp; Modified) + Price Sensitivity</t>
  </si>
  <si>
    <t>Par Value</t>
  </si>
  <si>
    <t>Annual YTM</t>
  </si>
  <si>
    <t>DURATION TABLE</t>
  </si>
  <si>
    <t>Weight</t>
  </si>
  <si>
    <t>Period × Weight</t>
  </si>
  <si>
    <t>Bond Price</t>
  </si>
  <si>
    <t>Macaulay Duration (periods)</t>
  </si>
  <si>
    <t>Macaulay Duration (years)</t>
  </si>
  <si>
    <t>Modified Duration (years)</t>
  </si>
  <si>
    <t>PRICE SENSITIVITY</t>
  </si>
  <si>
    <t>Initial YTM</t>
  </si>
  <si>
    <t>New YTM</t>
  </si>
  <si>
    <t>Change in Yield (Δy)</t>
  </si>
  <si>
    <t>Predicted % ΔP (Modified Duration)</t>
  </si>
  <si>
    <t>New Price (approx.)</t>
  </si>
  <si>
    <t>Actual New Price</t>
  </si>
  <si>
    <t>Actual % Price Change</t>
  </si>
  <si>
    <t>Equity Valuation — Dividend Discount Model (DDM / Gordon Growth)</t>
  </si>
  <si>
    <t>GORDON GROWTH MODEL  (P = D1 / (k - g))</t>
  </si>
  <si>
    <t>D0 (last dividend paid)</t>
  </si>
  <si>
    <t>g (constant growth rate)</t>
  </si>
  <si>
    <t>k (required return / discount rate)</t>
  </si>
  <si>
    <t>D1 = D0 × (1+g)</t>
  </si>
  <si>
    <t>Price P0 = D1 / (k - g)</t>
  </si>
  <si>
    <t>SOLVE FOR IMPLIED g  (given price, k, D0)</t>
  </si>
  <si>
    <t>Current Market Price (P0)</t>
  </si>
  <si>
    <t>k (required return)</t>
  </si>
  <si>
    <t>D0</t>
  </si>
  <si>
    <t>Implied g  (= k - D1/P0)</t>
  </si>
  <si>
    <t>← May need Goal Seek / Solver for exact g</t>
  </si>
  <si>
    <t>SOLVE FOR IMPLIED k  (given price, g, D0)</t>
  </si>
  <si>
    <t>g (growth rate)</t>
  </si>
  <si>
    <t>Implied k  (= D1/P0 + g)</t>
  </si>
  <si>
    <t>PRICE SENSITIVITY TABLE  (vary g and k)</t>
  </si>
  <si>
    <t>D0 for table</t>
  </si>
  <si>
    <t>g start</t>
  </si>
  <si>
    <t>g step</t>
  </si>
  <si>
    <t>k start</t>
  </si>
  <si>
    <t>k step</t>
  </si>
  <si>
    <t>P0 by g→, k↓</t>
  </si>
  <si>
    <t>g+0×step</t>
  </si>
  <si>
    <t>g+1×step</t>
  </si>
  <si>
    <t>g+2×step</t>
  </si>
  <si>
    <t>g+3×step</t>
  </si>
  <si>
    <t>g+4×step</t>
  </si>
  <si>
    <t>SOLVER: IMPLIED g  (replicate in-class Solver exercise)</t>
  </si>
  <si>
    <t>In Excel: Data → Solver. Set Objective = "Equation Output" cell to VALUE = market price. By Changing = g cell. This is how the in-class g = 6.67% was found for price = 6,013, k = 8%, D0 = 74.83</t>
  </si>
  <si>
    <t>Target Price (market price)</t>
  </si>
  <si>
    <t>g (← set this as Solver variable)</t>
  </si>
  <si>
    <t>Equation Output  = D0×(1+g)/(k−g)  ← set equal to target price</t>
  </si>
  <si>
    <t>Difference from target (should = 0 when Solver converges)</t>
  </si>
  <si>
    <t>Solved value from class: g = 6.672%  →  Price = $6,013</t>
  </si>
  <si>
    <t>Portfolio Theory — 2-Asset &amp; 3-Asset Calculator</t>
  </si>
  <si>
    <t>2-ASSET PORTFOLIO</t>
  </si>
  <si>
    <t>Asset 1</t>
  </si>
  <si>
    <t>Asset 2</t>
  </si>
  <si>
    <t>Expected Return E[R]</t>
  </si>
  <si>
    <t>Volatility (σ)</t>
  </si>
  <si>
    <t>Weight (w)</t>
  </si>
  <si>
    <t>Correlation (ρ)</t>
  </si>
  <si>
    <t>Covariance (σ12 = ρ×σ1×σ2)</t>
  </si>
  <si>
    <t>PORTFOLIO RESULTS</t>
  </si>
  <si>
    <t>Portfolio Expected Return</t>
  </si>
  <si>
    <t>Portfolio Variance</t>
  </si>
  <si>
    <t>Portfolio Volatility (σp)</t>
  </si>
  <si>
    <t>Risk-Free Rate (for Sharpe)</t>
  </si>
  <si>
    <t>Sharpe Ratio</t>
  </si>
  <si>
    <t>3-ASSET PORTFOLIO</t>
  </si>
  <si>
    <t>Asset 3</t>
  </si>
  <si>
    <t>E[R]</t>
  </si>
  <si>
    <t>Correlation ρ12</t>
  </si>
  <si>
    <t>Correlation ρ13</t>
  </si>
  <si>
    <t>Correlation ρ23</t>
  </si>
  <si>
    <t>3-ASSET RESULTS</t>
  </si>
  <si>
    <t>Portfolio E[R]</t>
  </si>
  <si>
    <t>Covariance 12</t>
  </si>
  <si>
    <t>Covariance 13</t>
  </si>
  <si>
    <t>Covariance 23</t>
  </si>
  <si>
    <t>Portfolio Volatility</t>
  </si>
  <si>
    <t>Risk-Free Rate</t>
  </si>
  <si>
    <t>EQUITY-BOND MVE (in-class example: Equity 15%/20%, Bond 5%/8%, ρ=0.4, Rf=2%)</t>
  </si>
  <si>
    <t>Equity</t>
  </si>
  <si>
    <t>Bond</t>
  </si>
  <si>
    <t>Volatility</t>
  </si>
  <si>
    <t>Covariance</t>
  </si>
  <si>
    <t>MVE WEIGHTS (Equity-Bond)</t>
  </si>
  <si>
    <t>Excess Return Equity</t>
  </si>
  <si>
    <t>Excess Return Bond</t>
  </si>
  <si>
    <t>🔷 w_Equity* (MVE)</t>
  </si>
  <si>
    <t>🔷 w_Bond* (MVE)</t>
  </si>
  <si>
    <t>MVE E[R]</t>
  </si>
  <si>
    <t>MVE Volatility</t>
  </si>
  <si>
    <t>Class solution: w_Equity=63.49%, w_Bond=36.51%, E[R]=11.35%, Vol=14.12%, Sharpe=0.662</t>
  </si>
  <si>
    <t>STRIPS (Separate Trading of Registered Interest and Principal Securities)</t>
  </si>
  <si>
    <t>A STRIP is a zero-coupon bond created by separating coupons from principal. Price = Par / (1 + y/2)^(2T)</t>
  </si>
  <si>
    <t>SECTION 1 — STRIP / Zero-Coupon Bond Pricing</t>
  </si>
  <si>
    <t>Par / Face Value ($)</t>
  </si>
  <si>
    <t>Annual YTM (semiannually compounded)</t>
  </si>
  <si>
    <t>Periods per year</t>
  </si>
  <si>
    <t>Total periods (n = T × periods/yr)</t>
  </si>
  <si>
    <t>Discount factor  1/(1+y/2)^n</t>
  </si>
  <si>
    <t>🔷 STRIP Price  =  Par × discount factor</t>
  </si>
  <si>
    <t>SECTION 1b — Yield from STRIP Price (Zero-Coupon)</t>
  </si>
  <si>
    <t>STRIP Market Price (what you paid)</t>
  </si>
  <si>
    <t>Par / Face Value</t>
  </si>
  <si>
    <t>🔷 Implied YTM  =  periods × [(Par/Price)^(1/n) - 1]</t>
  </si>
  <si>
    <t>SECTION 2 — Implied Spot Rate from STRIP Price</t>
  </si>
  <si>
    <t>STRIP Market Price</t>
  </si>
  <si>
    <t>🔷 Implied Spot Rate (annual, semi-cpd)</t>
  </si>
  <si>
    <t>SECTION 3 — Price Sensitivity to Yield Change</t>
  </si>
  <si>
    <t>Par</t>
  </si>
  <si>
    <t>Initial Annual Yield</t>
  </si>
  <si>
    <t>New Annual Yield</t>
  </si>
  <si>
    <t>Maturity (yr)</t>
  </si>
  <si>
    <t>Duration = T</t>
  </si>
  <si>
    <t>Initial Price</t>
  </si>
  <si>
    <t>New Price</t>
  </si>
  <si>
    <t>$ Change</t>
  </si>
  <si>
    <t>% Change</t>
  </si>
  <si>
    <t>%Chg / Δy</t>
  </si>
  <si>
    <t>10</t>
  </si>
  <si>
    <t>20</t>
  </si>
  <si>
    <t>30</t>
  </si>
  <si>
    <t>SECTION 4 — Price a Coupon Bond Using STRIP / Spot Rates</t>
  </si>
  <si>
    <t>Face Value</t>
  </si>
  <si>
    <t>Spot Rate</t>
  </si>
  <si>
    <t>STRIP Price/</t>
  </si>
  <si>
    <t>9</t>
  </si>
  <si>
    <t>🔷 Bond Price from STRIP curve</t>
  </si>
  <si>
    <t>YIELD FROM PRICE — Coupon Bond (uses inputs from Section 4)</t>
  </si>
  <si>
    <t>Enter observed market price to back out YTM</t>
  </si>
  <si>
    <t>🔷 YTM (uses Face=B40, Coupon=B41, 10 periods, Periods/yr=B42)</t>
  </si>
  <si>
    <t>Verify: Price back from YTM</t>
  </si>
  <si>
    <t>SECTION 5 — STRIPS Buy-and-Hold vs T-Bill Saving Strategy</t>
  </si>
  <si>
    <t>Investment today ($)</t>
  </si>
  <si>
    <t>Investment horizon (years)</t>
  </si>
  <si>
    <t>STRIP yield at purchase (annual, semi-cpd)</t>
  </si>
  <si>
    <t>T-bill yield Year 1 (annual)</t>
  </si>
  <si>
    <t>T-bill yield Years 2-5 (annual)</t>
  </si>
  <si>
    <t>── STRIPS strategy ──</t>
  </si>
  <si>
    <t>STRIP FV (lock in yield for full horizon)</t>
  </si>
  <si>
    <t>Goal amount (to compare)</t>
  </si>
  <si>
    <t>Meets goal? (STRIPS)</t>
  </si>
  <si>
    <t>── T-bill roll strategy ──</t>
  </si>
  <si>
    <t>Value end of Year 1 (at yr-1 T-bill rate)</t>
  </si>
  <si>
    <t>Value end of Year 5 (roll at yrs 2-5 rate)</t>
  </si>
  <si>
    <t>Meets goal? (T-bills)</t>
  </si>
  <si>
    <t>Difference (STRIPS - T-bills)</t>
  </si>
  <si>
    <t>Optimal Portfolio (MVE), Complete Portfolio &amp; CAPM</t>
  </si>
  <si>
    <t>2-ASSET MVE (TANGENCY) PORTFOLIO</t>
  </si>
  <si>
    <t>Risk-Free Rate (Rf)</t>
  </si>
  <si>
    <t>Covariance σ12</t>
  </si>
  <si>
    <t>Excess Return 1 (E[R1]-Rf)</t>
  </si>
  <si>
    <t>Excess Return 2 (E[R2]-Rf)</t>
  </si>
  <si>
    <t>w1* (MVE weight, Asset 1)</t>
  </si>
  <si>
    <t>w2* (MVE weight, Asset 2)</t>
  </si>
  <si>
    <t>MVE PORTFOLIO STATS</t>
  </si>
  <si>
    <t>MVE Variance</t>
  </si>
  <si>
    <t>MVE Volatility (σ*)</t>
  </si>
  <si>
    <t>Sharpe Ratio (MVE)</t>
  </si>
  <si>
    <t>COMPLETE PORTFOLIO (MVE + Risk-Free)</t>
  </si>
  <si>
    <t>Risk Aversion (A)</t>
  </si>
  <si>
    <t>Weight on MVE (y*)</t>
  </si>
  <si>
    <t>Weight on Risk-Free</t>
  </si>
  <si>
    <t>Complete Portfolio E[R]</t>
  </si>
  <si>
    <t>Complete Portfolio Volatility</t>
  </si>
  <si>
    <t>Utility  U = E[R] - A/2×Var</t>
  </si>
  <si>
    <t>Overall Weight: Asset 1</t>
  </si>
  <si>
    <t>Overall Weight: Asset 2</t>
  </si>
  <si>
    <t>Overall Weight: Risk-Free</t>
  </si>
  <si>
    <t>CAPM / SML</t>
  </si>
  <si>
    <t>Market E[Rm]</t>
  </si>
  <si>
    <t>Risk-Free Rf</t>
  </si>
  <si>
    <t>Beta (β)</t>
  </si>
  <si>
    <t>CAPM Expected Return  (Rf + β×(Rm-Rf))</t>
  </si>
  <si>
    <t>Actual/Observed Return</t>
  </si>
  <si>
    <t>Alpha (α = Actual - CAPM)</t>
  </si>
  <si>
    <t>Market Risk Premium (Rm - Rf)</t>
  </si>
  <si>
    <t>Implied β from returns (given Rf, Rm, E[R])</t>
  </si>
  <si>
    <t>3-ASSET COMPLETE PORTFOLIO WITH OVERALL WEIGHTS</t>
  </si>
  <si>
    <t>Uses 3-asset MVE weights from 🔀 Portfolio Theory sheet. Overall weight = y* × MVE_weight_i ; Risk-free = 1 − y*</t>
  </si>
  <si>
    <t>MVE E[R] (from 3-asset)</t>
  </si>
  <si>
    <t>MVE Volatility (from 3-asset)</t>
  </si>
  <si>
    <t>Weight on Risk-Free (1 − y*)</t>
  </si>
  <si>
    <t>Utility  U = E[R] − A/2 × Var</t>
  </si>
  <si>
    <t>Asset</t>
  </si>
  <si>
    <t>MVE Weight (w_i*)</t>
  </si>
  <si>
    <t>Overall Weight (y* × w_i*)</t>
  </si>
  <si>
    <t>Risk-Free</t>
  </si>
  <si>
    <t>Class solution (A=2): y*=88.67%, Asset1=45.4%, Asset2=32.8%, Asset3=10.4%, Rf=11.3%</t>
  </si>
  <si>
    <t>Bond Immunization — Cash + Zero-Coupon Matching</t>
  </si>
  <si>
    <t>INPUTS</t>
  </si>
  <si>
    <t>Annual Discount Rate</t>
  </si>
  <si>
    <t>Maturity of Zero-Coupon Bond (years)</t>
  </si>
  <si>
    <t>Total Liability PV (computed below or input)</t>
  </si>
  <si>
    <t>LIABILITY CASH FLOWS (enter up to 20 payments)</t>
  </si>
  <si>
    <t>Period #</t>
  </si>
  <si>
    <t>Payment ($M)</t>
  </si>
  <si>
    <t>PV of Payment</t>
  </si>
  <si>
    <t>Weight (wt)</t>
  </si>
  <si>
    <t>t × wt</t>
  </si>
  <si>
    <t>Total PV of Liabilities</t>
  </si>
  <si>
    <t>IMMUNIZATION RESULTS</t>
  </si>
  <si>
    <t>Macaulay Duration of Liabilities (years)</t>
  </si>
  <si>
    <t>Zero-Coupon Bond Price (per $1 par)</t>
  </si>
  <si>
    <t>Weight on Zero (wz = D_liab / T_zero)</t>
  </si>
  <si>
    <t>Weight on Cash (wc = 1 - wz)</t>
  </si>
  <si>
    <t>Dollar Amount in Zero-Coupon</t>
  </si>
  <si>
    <t>Dollar Amount in Cash</t>
  </si>
  <si>
    <t>Check: Total = PV of Liabilities?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</si>
</sst>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\$#,##0.00"/>
    <numFmt numFmtId="165" formatCode="0.0000%"/>
    <numFmt numFmtId="166" formatCode="0.0000\x"/>
    <numFmt numFmtId="167" formatCode="\$#,##0"/>
    <numFmt numFmtId="168" formatCode="0.00\x"/>
    <numFmt numFmtId="169" formatCode="0.0000"/>
    <numFmt numFmtId="170" formatCode="#,##0.0000"/>
    <numFmt numFmtId="171" formatCode="0.0"/>
    <numFmt numFmtId="172" formatCode="\$#,##0.000"/>
    <numFmt numFmtId="173" formatCode="\$#,##0.0000"/>
    <numFmt numFmtId="174" formatCode="0.000%"/>
    <numFmt numFmtId="175" formatCode="0.000000"/>
    <numFmt numFmtId="176" formatCode="0.000"/>
    <numFmt numFmtId="180" formatCode="_(* #,##0_);_(* \(#,##0\);_(* &quot;-&quot;??_);_(@_)"/>
  </numFmts>
  <fonts count="2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003366"/>
      </patternFill>
    </fill>
    <fill>
      <patternFill patternType="solid">
        <fgColor rgb="FF4472C4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4472C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81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4" fillId="0" borderId="0" xfId="0" applyFont="1" applyAlignment="1">
      <alignment horizontal="left"/>
    </xf>
    <xf numFmtId="0" fontId="15" fillId="3" borderId="0" xfId="0" applyFont="1" applyFill="1" applyAlignment="1">
      <alignment horizontal="center" vertical="center" wrapText="1"/>
    </xf>
    <xf numFmtId="10" fontId="6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5" fillId="3" borderId="0" xfId="0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center"/>
    </xf>
    <xf numFmtId="0" fontId="8" fillId="0" borderId="0" xfId="0" applyFont="1" applyAlignment="1">
      <alignment horizontal="left" vertical="center"/>
    </xf>
    <xf numFmtId="167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center"/>
    </xf>
    <xf numFmtId="168" fontId="5" fillId="0" borderId="0" xfId="0" applyNumberFormat="1" applyFont="1" applyAlignment="1">
      <alignment horizontal="center"/>
    </xf>
    <xf numFmtId="4" fontId="6" fillId="4" borderId="0" xfId="0" applyNumberFormat="1" applyFont="1" applyFill="1" applyAlignment="1">
      <alignment horizontal="center"/>
    </xf>
    <xf numFmtId="169" fontId="6" fillId="4" borderId="0" xfId="0" applyNumberFormat="1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170" fontId="8" fillId="0" borderId="0" xfId="0" applyNumberFormat="1" applyFont="1" applyAlignment="1">
      <alignment horizontal="center"/>
    </xf>
    <xf numFmtId="171" fontId="6" fillId="4" borderId="0" xfId="0" applyNumberFormat="1" applyFont="1" applyFill="1" applyAlignment="1">
      <alignment horizontal="center"/>
    </xf>
    <xf numFmtId="172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73" fontId="8" fillId="0" borderId="0" xfId="0" applyNumberFormat="1" applyFont="1" applyAlignment="1">
      <alignment horizontal="center"/>
    </xf>
    <xf numFmtId="171" fontId="5" fillId="0" borderId="0" xfId="0" applyNumberFormat="1" applyFont="1" applyAlignment="1">
      <alignment horizontal="center"/>
    </xf>
    <xf numFmtId="174" fontId="6" fillId="4" borderId="0" xfId="0" applyNumberFormat="1" applyFont="1" applyFill="1" applyAlignment="1">
      <alignment horizontal="center"/>
    </xf>
    <xf numFmtId="175" fontId="5" fillId="0" borderId="0" xfId="0" applyNumberFormat="1" applyFont="1" applyAlignment="1">
      <alignment horizontal="center"/>
    </xf>
    <xf numFmtId="172" fontId="6" fillId="4" borderId="0" xfId="0" applyNumberFormat="1" applyFont="1" applyFill="1" applyAlignment="1">
      <alignment horizontal="center"/>
    </xf>
    <xf numFmtId="173" fontId="6" fillId="4" borderId="0" xfId="0" applyNumberFormat="1" applyFont="1" applyFill="1" applyAlignment="1">
      <alignment horizontal="center"/>
    </xf>
    <xf numFmtId="173" fontId="5" fillId="0" borderId="0" xfId="0" applyNumberFormat="1" applyFont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169" fontId="5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74" fontId="5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5" fontId="6" fillId="4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175" fontId="8" fillId="0" borderId="0" xfId="0" applyNumberFormat="1" applyFont="1" applyAlignment="1">
      <alignment horizontal="center"/>
    </xf>
    <xf numFmtId="176" fontId="6" fillId="4" borderId="0" xfId="0" applyNumberFormat="1" applyFont="1" applyFill="1" applyAlignment="1">
      <alignment horizontal="center"/>
    </xf>
    <xf numFmtId="176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72" fontId="8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65" fontId="21" fillId="0" borderId="0" xfId="0" applyNumberFormat="1" applyFont="1" applyAlignment="1">
      <alignment horizontal="center"/>
    </xf>
    <xf numFmtId="175" fontId="22" fillId="0" borderId="0" xfId="0" applyNumberFormat="1" applyFont="1" applyAlignment="1">
      <alignment horizontal="center"/>
    </xf>
    <xf numFmtId="174" fontId="22" fillId="0" borderId="0" xfId="0" applyNumberFormat="1" applyFont="1" applyAlignment="1">
      <alignment horizontal="center"/>
    </xf>
    <xf numFmtId="169" fontId="21" fillId="0" borderId="0" xfId="0" applyNumberFormat="1" applyFont="1" applyAlignment="1">
      <alignment horizontal="center"/>
    </xf>
    <xf numFmtId="171" fontId="22" fillId="0" borderId="0" xfId="0" applyNumberFormat="1" applyFont="1" applyAlignment="1">
      <alignment horizontal="center"/>
    </xf>
    <xf numFmtId="172" fontId="22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174" fontId="23" fillId="6" borderId="0" xfId="0" applyNumberFormat="1" applyFont="1" applyFill="1" applyAlignment="1">
      <alignment horizontal="center"/>
    </xf>
    <xf numFmtId="173" fontId="21" fillId="0" borderId="0" xfId="0" applyNumberFormat="1" applyFont="1" applyAlignment="1">
      <alignment horizontal="center"/>
    </xf>
    <xf numFmtId="173" fontId="22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9" fillId="5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180" fontId="1" fillId="0" borderId="0" xfId="1" applyNumberFormat="1"/>
    <xf numFmtId="180" fontId="0" fillId="0" borderId="0" xfId="0" applyNumberFormat="1"/>
    <xf numFmtId="9" fontId="1" fillId="0" borderId="0" xfId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4" customWidth="1"/>
    <col min="2" max="2" width="22" customWidth="1"/>
    <col min="3" max="3" width="45" customWidth="1"/>
    <col min="4" max="4" width="30" customWidth="1"/>
    <col min="5" max="6" width="20" customWidth="1"/>
  </cols>
  <sheetData>
    <row r="1" spans="1:6" ht="49.5" customHeight="1" x14ac:dyDescent="0.35">
      <c r="A1" s="68" t="s">
        <v>0</v>
      </c>
      <c r="B1" s="67"/>
      <c r="C1" s="67"/>
      <c r="D1" s="67"/>
      <c r="E1" s="67"/>
      <c r="F1" s="67"/>
    </row>
    <row r="2" spans="1:6" ht="24.75" customHeight="1" x14ac:dyDescent="0.35">
      <c r="A2" s="66" t="s">
        <v>1</v>
      </c>
      <c r="B2" s="67"/>
      <c r="C2" s="67"/>
      <c r="D2" s="67"/>
      <c r="E2" s="67"/>
      <c r="F2" s="67"/>
    </row>
    <row r="4" spans="1:6" ht="15" customHeight="1" x14ac:dyDescent="0.35">
      <c r="A4" s="2" t="s">
        <v>2</v>
      </c>
    </row>
    <row r="5" spans="1:6" ht="15" customHeight="1" x14ac:dyDescent="0.35">
      <c r="A5" s="3" t="s">
        <v>3</v>
      </c>
      <c r="B5" s="4" t="s">
        <v>4</v>
      </c>
    </row>
    <row r="6" spans="1:6" ht="15" customHeight="1" x14ac:dyDescent="0.35">
      <c r="A6" s="3" t="s">
        <v>5</v>
      </c>
      <c r="B6" s="5">
        <f>1+1</f>
        <v>2</v>
      </c>
    </row>
    <row r="7" spans="1:6" ht="15" customHeight="1" x14ac:dyDescent="0.35">
      <c r="A7" s="3" t="s">
        <v>6</v>
      </c>
    </row>
    <row r="9" spans="1:6" ht="15" customHeight="1" x14ac:dyDescent="0.35">
      <c r="A9" s="6" t="s">
        <v>7</v>
      </c>
    </row>
    <row r="10" spans="1:6" ht="18" customHeight="1" x14ac:dyDescent="0.35">
      <c r="A10" s="7" t="s">
        <v>8</v>
      </c>
      <c r="B10" s="8" t="s">
        <v>9</v>
      </c>
      <c r="C10" s="3" t="s">
        <v>10</v>
      </c>
    </row>
    <row r="11" spans="1:6" ht="18" customHeight="1" x14ac:dyDescent="0.35">
      <c r="A11" s="7" t="s">
        <v>11</v>
      </c>
      <c r="B11" s="8" t="s">
        <v>12</v>
      </c>
      <c r="C11" s="3" t="s">
        <v>13</v>
      </c>
    </row>
    <row r="12" spans="1:6" ht="18" customHeight="1" x14ac:dyDescent="0.35">
      <c r="A12" s="7" t="s">
        <v>14</v>
      </c>
      <c r="B12" s="8" t="s">
        <v>15</v>
      </c>
      <c r="C12" s="3" t="s">
        <v>16</v>
      </c>
    </row>
    <row r="13" spans="1:6" ht="18" customHeight="1" x14ac:dyDescent="0.35">
      <c r="A13" s="7" t="s">
        <v>17</v>
      </c>
      <c r="B13" s="8" t="s">
        <v>18</v>
      </c>
      <c r="C13" s="3" t="s">
        <v>19</v>
      </c>
    </row>
    <row r="14" spans="1:6" ht="18" customHeight="1" x14ac:dyDescent="0.35">
      <c r="A14" s="7" t="s">
        <v>20</v>
      </c>
      <c r="B14" s="8" t="s">
        <v>21</v>
      </c>
      <c r="C14" s="3" t="s">
        <v>22</v>
      </c>
    </row>
    <row r="15" spans="1:6" ht="18" customHeight="1" x14ac:dyDescent="0.35">
      <c r="A15" s="7" t="s">
        <v>23</v>
      </c>
      <c r="B15" s="8" t="s">
        <v>24</v>
      </c>
      <c r="C15" s="3" t="s">
        <v>25</v>
      </c>
    </row>
    <row r="16" spans="1:6" ht="18" customHeight="1" x14ac:dyDescent="0.35">
      <c r="A16" s="7" t="s">
        <v>26</v>
      </c>
      <c r="B16" s="8" t="s">
        <v>27</v>
      </c>
      <c r="C16" s="3" t="s">
        <v>28</v>
      </c>
    </row>
    <row r="17" spans="1:3" ht="18" customHeight="1" x14ac:dyDescent="0.35">
      <c r="A17" s="9" t="s">
        <v>29</v>
      </c>
      <c r="B17" s="10" t="s">
        <v>30</v>
      </c>
      <c r="C17" s="11" t="s">
        <v>31</v>
      </c>
    </row>
    <row r="18" spans="1:3" ht="15" customHeight="1" x14ac:dyDescent="0.35">
      <c r="A18" s="7" t="s">
        <v>32</v>
      </c>
      <c r="B18" s="8" t="s">
        <v>33</v>
      </c>
      <c r="C18" s="3" t="s">
        <v>34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showGridLines="0" zoomScaleNormal="100" workbookViewId="0"/>
  </sheetViews>
  <sheetFormatPr defaultColWidth="8.6328125" defaultRowHeight="14.5" x14ac:dyDescent="0.35"/>
  <cols>
    <col min="1" max="1" width="38" customWidth="1"/>
    <col min="2" max="4" width="20" customWidth="1"/>
    <col min="5" max="8" width="15" customWidth="1"/>
  </cols>
  <sheetData>
    <row r="1" spans="1:8" ht="34.5" customHeight="1" x14ac:dyDescent="0.35">
      <c r="A1" s="71" t="s">
        <v>35</v>
      </c>
      <c r="B1" s="67"/>
      <c r="C1" s="67"/>
      <c r="D1" s="67"/>
      <c r="E1" s="67"/>
      <c r="F1" s="67"/>
      <c r="G1" s="67"/>
      <c r="H1" s="67"/>
    </row>
    <row r="2" spans="1:8" ht="15" customHeight="1" x14ac:dyDescent="0.35">
      <c r="A2" s="69" t="s">
        <v>36</v>
      </c>
      <c r="B2" s="67"/>
      <c r="C2" s="67"/>
      <c r="D2" s="67"/>
      <c r="E2" s="67"/>
      <c r="F2" s="67"/>
      <c r="G2" s="67"/>
      <c r="H2" s="67"/>
    </row>
    <row r="4" spans="1:8" ht="15" customHeight="1" x14ac:dyDescent="0.35">
      <c r="A4" s="66" t="s">
        <v>37</v>
      </c>
      <c r="B4" s="67"/>
      <c r="C4" s="67"/>
      <c r="D4" s="67"/>
      <c r="E4" s="67"/>
      <c r="F4" s="67"/>
      <c r="G4" s="67"/>
      <c r="H4" s="67"/>
    </row>
    <row r="5" spans="1:8" ht="15" customHeight="1" x14ac:dyDescent="0.35">
      <c r="A5" s="13" t="s">
        <v>38</v>
      </c>
      <c r="B5" s="13" t="s">
        <v>39</v>
      </c>
      <c r="C5" s="70" t="s">
        <v>40</v>
      </c>
      <c r="D5" s="67"/>
      <c r="E5" s="67"/>
      <c r="F5" s="67"/>
      <c r="G5" s="67"/>
    </row>
    <row r="6" spans="1:8" ht="15" customHeight="1" x14ac:dyDescent="0.35">
      <c r="A6" s="3" t="s">
        <v>41</v>
      </c>
      <c r="B6" s="14">
        <v>0.15</v>
      </c>
      <c r="C6" s="12" t="s">
        <v>42</v>
      </c>
    </row>
    <row r="7" spans="1:8" ht="15" customHeight="1" x14ac:dyDescent="0.35">
      <c r="A7" s="3" t="s">
        <v>43</v>
      </c>
      <c r="B7" s="14">
        <v>-0.05</v>
      </c>
      <c r="C7" s="12" t="s">
        <v>44</v>
      </c>
    </row>
    <row r="8" spans="1:8" ht="15" customHeight="1" x14ac:dyDescent="0.35">
      <c r="A8" s="3" t="s">
        <v>45</v>
      </c>
      <c r="B8" s="14">
        <v>0.5</v>
      </c>
    </row>
    <row r="9" spans="1:8" ht="15" customHeight="1" x14ac:dyDescent="0.35">
      <c r="A9" s="3" t="s">
        <v>46</v>
      </c>
      <c r="B9" s="14">
        <v>0.04</v>
      </c>
      <c r="C9" s="12" t="s">
        <v>47</v>
      </c>
    </row>
    <row r="10" spans="1:8" ht="15" customHeight="1" x14ac:dyDescent="0.35">
      <c r="A10" s="3" t="s">
        <v>48</v>
      </c>
      <c r="B10" s="15">
        <v>100</v>
      </c>
    </row>
    <row r="11" spans="1:8" ht="15" customHeight="1" x14ac:dyDescent="0.35">
      <c r="A11" s="3" t="s">
        <v>49</v>
      </c>
      <c r="B11" s="15">
        <v>20</v>
      </c>
      <c r="C11" s="12" t="s">
        <v>50</v>
      </c>
    </row>
    <row r="12" spans="1:8" ht="15" customHeight="1" x14ac:dyDescent="0.35">
      <c r="A12" s="3" t="s">
        <v>51</v>
      </c>
      <c r="B12" s="15">
        <v>80</v>
      </c>
      <c r="C12" s="55" t="s">
        <v>52</v>
      </c>
    </row>
    <row r="14" spans="1:8" ht="15" customHeight="1" x14ac:dyDescent="0.35">
      <c r="A14" s="66" t="s">
        <v>53</v>
      </c>
      <c r="B14" s="67"/>
      <c r="C14" s="67"/>
      <c r="D14" s="67"/>
      <c r="E14" s="67"/>
      <c r="F14" s="67"/>
      <c r="G14" s="67"/>
      <c r="H14" s="67"/>
    </row>
    <row r="15" spans="1:8" ht="23.9" customHeight="1" x14ac:dyDescent="0.35">
      <c r="A15" s="13"/>
      <c r="B15" s="13" t="s">
        <v>54</v>
      </c>
      <c r="C15" s="13" t="s">
        <v>55</v>
      </c>
    </row>
    <row r="16" spans="1:8" ht="15" customHeight="1" x14ac:dyDescent="0.35">
      <c r="A16" s="3" t="s">
        <v>56</v>
      </c>
      <c r="B16" s="16">
        <f>B11</f>
        <v>20</v>
      </c>
      <c r="C16" s="16">
        <f>B11</f>
        <v>20</v>
      </c>
    </row>
    <row r="17" spans="1:8" ht="15" customHeight="1" x14ac:dyDescent="0.35">
      <c r="A17" s="3" t="s">
        <v>57</v>
      </c>
      <c r="B17" s="16">
        <f>B11</f>
        <v>20</v>
      </c>
      <c r="C17" s="16">
        <f>B10</f>
        <v>100</v>
      </c>
    </row>
    <row r="18" spans="1:8" ht="15" customHeight="1" x14ac:dyDescent="0.35">
      <c r="A18" s="3" t="s">
        <v>58</v>
      </c>
      <c r="B18" s="16">
        <f>0</f>
        <v>0</v>
      </c>
      <c r="C18" s="16">
        <f>B12</f>
        <v>80</v>
      </c>
    </row>
    <row r="19" spans="1:8" ht="15" customHeight="1" x14ac:dyDescent="0.35">
      <c r="A19" s="3" t="s">
        <v>59</v>
      </c>
      <c r="B19" s="16">
        <f>B11*(1+B6)</f>
        <v>23</v>
      </c>
      <c r="C19" s="16">
        <f>B10*(1+B6)</f>
        <v>114.99999999999999</v>
      </c>
    </row>
    <row r="20" spans="1:8" ht="15" customHeight="1" x14ac:dyDescent="0.35">
      <c r="A20" s="3" t="s">
        <v>60</v>
      </c>
      <c r="B20" s="16">
        <f>B11*(1+B7)</f>
        <v>19</v>
      </c>
      <c r="C20" s="16">
        <f>B10*(1+B7)</f>
        <v>95</v>
      </c>
    </row>
    <row r="21" spans="1:8" ht="15" customHeight="1" x14ac:dyDescent="0.35">
      <c r="A21" s="3" t="s">
        <v>61</v>
      </c>
      <c r="B21" s="16">
        <f>0</f>
        <v>0</v>
      </c>
      <c r="C21" s="16">
        <f>B12*(1+B9)</f>
        <v>83.2</v>
      </c>
    </row>
    <row r="22" spans="1:8" ht="15" customHeight="1" x14ac:dyDescent="0.35">
      <c r="A22" s="3" t="s">
        <v>62</v>
      </c>
      <c r="B22" s="17">
        <f>C17-C20</f>
        <v>5</v>
      </c>
      <c r="C22" s="17">
        <f>D17-D20</f>
        <v>0</v>
      </c>
    </row>
    <row r="23" spans="1:8" ht="15" customHeight="1" x14ac:dyDescent="0.35">
      <c r="A23" s="3" t="s">
        <v>63</v>
      </c>
      <c r="B23" s="17">
        <f>C18-C20</f>
        <v>-15</v>
      </c>
      <c r="C23" s="17">
        <f>D18-D20</f>
        <v>0</v>
      </c>
    </row>
    <row r="24" spans="1:8" ht="15" customHeight="1" x14ac:dyDescent="0.35">
      <c r="A24" s="3" t="s">
        <v>64</v>
      </c>
      <c r="B24" s="17">
        <f>B8*C21+(1-B8)*C22</f>
        <v>41.6</v>
      </c>
      <c r="C24" s="17">
        <f>B8*D21+(1-B8)*D22</f>
        <v>0</v>
      </c>
    </row>
    <row r="26" spans="1:8" ht="15" customHeight="1" x14ac:dyDescent="0.35">
      <c r="A26" s="66" t="s">
        <v>65</v>
      </c>
      <c r="B26" s="67"/>
      <c r="C26" s="67"/>
      <c r="D26" s="67"/>
      <c r="E26" s="67"/>
      <c r="F26" s="67"/>
      <c r="G26" s="67"/>
      <c r="H26" s="67"/>
    </row>
    <row r="27" spans="1:8" ht="15" customHeight="1" x14ac:dyDescent="0.35">
      <c r="A27" s="13"/>
      <c r="B27" s="13" t="s">
        <v>66</v>
      </c>
      <c r="C27" s="13" t="s">
        <v>67</v>
      </c>
    </row>
    <row r="28" spans="1:8" ht="15" customHeight="1" x14ac:dyDescent="0.35">
      <c r="A28" s="3" t="s">
        <v>68</v>
      </c>
      <c r="B28" s="18">
        <f>C21/B11-1</f>
        <v>3.16</v>
      </c>
      <c r="C28" s="18">
        <f>D21/B11-1</f>
        <v>-1</v>
      </c>
    </row>
    <row r="29" spans="1:8" ht="15" customHeight="1" x14ac:dyDescent="0.35">
      <c r="A29" s="3" t="s">
        <v>69</v>
      </c>
      <c r="B29" s="18">
        <f>C22/B11-1</f>
        <v>-1</v>
      </c>
      <c r="C29" s="18">
        <f>D22/B11-1</f>
        <v>-1</v>
      </c>
    </row>
    <row r="30" spans="1:8" ht="15" customHeight="1" x14ac:dyDescent="0.35">
      <c r="A30" s="3" t="s">
        <v>70</v>
      </c>
      <c r="B30" s="56">
        <f>B8*B28+(1-B8)*B29</f>
        <v>1.08</v>
      </c>
      <c r="C30" s="56">
        <f>B8*C28+(1-B8)*C29</f>
        <v>-1</v>
      </c>
    </row>
    <row r="31" spans="1:8" ht="15" customHeight="1" x14ac:dyDescent="0.35">
      <c r="A31" s="3" t="s">
        <v>71</v>
      </c>
      <c r="B31" s="56">
        <f>SQRT(B8*(B28-B30)^2+(1-B8)*(B29-B30)^2)</f>
        <v>2.08</v>
      </c>
      <c r="C31" s="56">
        <f>SQRT(B8*(C28-C30)^2+(1-B8)*(C29-C30)^2)</f>
        <v>0</v>
      </c>
    </row>
    <row r="33" spans="1:8" ht="15" customHeight="1" x14ac:dyDescent="0.35">
      <c r="A33" s="66" t="s">
        <v>72</v>
      </c>
      <c r="B33" s="67"/>
      <c r="C33" s="67"/>
      <c r="D33" s="67"/>
      <c r="E33" s="67"/>
      <c r="F33" s="67"/>
      <c r="G33" s="67"/>
      <c r="H33" s="67"/>
    </row>
    <row r="34" spans="1:8" ht="15" customHeight="1" x14ac:dyDescent="0.35">
      <c r="A34" s="69" t="s">
        <v>73</v>
      </c>
      <c r="B34" s="67"/>
      <c r="C34" s="67"/>
      <c r="D34" s="67"/>
      <c r="E34" s="67"/>
      <c r="F34" s="67"/>
      <c r="G34" s="67"/>
      <c r="H34" s="67"/>
    </row>
    <row r="35" spans="1:8" ht="15" customHeight="1" x14ac:dyDescent="0.35">
      <c r="A35" s="3" t="s">
        <v>74</v>
      </c>
      <c r="B35" s="19">
        <f>B12/B11</f>
        <v>4</v>
      </c>
    </row>
    <row r="36" spans="1:8" ht="15" customHeight="1" x14ac:dyDescent="0.35">
      <c r="A36" s="3" t="s">
        <v>75</v>
      </c>
      <c r="B36" s="20">
        <f>(B10/B11)*SQRT(B8*(B6-B8*B6+(1-B8)*B7)^2+(1-B8)*(B7-B8*B6-(1-B8)*B7)^2)</f>
        <v>0.39528470752104744</v>
      </c>
    </row>
    <row r="37" spans="1:8" ht="15" customHeight="1" x14ac:dyDescent="0.35">
      <c r="A37" s="69" t="s">
        <v>76</v>
      </c>
      <c r="B37" s="67"/>
      <c r="C37" s="67"/>
      <c r="D37" s="67"/>
      <c r="E37" s="67"/>
      <c r="F37" s="67"/>
      <c r="G37" s="67"/>
      <c r="H37" s="67"/>
    </row>
  </sheetData>
  <mergeCells count="9">
    <mergeCell ref="A1:H1"/>
    <mergeCell ref="A37:H37"/>
    <mergeCell ref="A34:H34"/>
    <mergeCell ref="A4:H4"/>
    <mergeCell ref="A26:H26"/>
    <mergeCell ref="A2:H2"/>
    <mergeCell ref="C5:G5"/>
    <mergeCell ref="A33:H33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zoomScaleNormal="100" workbookViewId="0"/>
  </sheetViews>
  <sheetFormatPr defaultColWidth="8.6328125" defaultRowHeight="14.5" x14ac:dyDescent="0.35"/>
  <cols>
    <col min="1" max="1" width="25" customWidth="1"/>
    <col min="2" max="2" width="16" customWidth="1"/>
    <col min="3" max="3" width="10" customWidth="1"/>
    <col min="4" max="4" width="25" customWidth="1"/>
    <col min="5" max="5" width="16" customWidth="1"/>
    <col min="6" max="6" width="10" customWidth="1"/>
  </cols>
  <sheetData>
    <row r="1" spans="1:6" ht="34.5" customHeight="1" x14ac:dyDescent="0.35">
      <c r="A1" s="72" t="s">
        <v>77</v>
      </c>
      <c r="B1" s="67"/>
      <c r="C1" s="67"/>
      <c r="D1" s="67"/>
      <c r="E1" s="67"/>
      <c r="F1" s="67"/>
    </row>
    <row r="3" spans="1:6" ht="15" customHeight="1" x14ac:dyDescent="0.35">
      <c r="A3" s="66" t="s">
        <v>78</v>
      </c>
      <c r="B3" s="67"/>
      <c r="C3" s="67"/>
      <c r="D3" s="66" t="s">
        <v>79</v>
      </c>
      <c r="E3" s="67"/>
      <c r="F3" s="67"/>
    </row>
    <row r="4" spans="1:6" ht="15" customHeight="1" x14ac:dyDescent="0.35">
      <c r="A4" s="21" t="s">
        <v>80</v>
      </c>
      <c r="B4" s="21" t="s">
        <v>81</v>
      </c>
      <c r="C4" s="21" t="s">
        <v>82</v>
      </c>
      <c r="D4" s="21" t="s">
        <v>80</v>
      </c>
      <c r="E4" s="21" t="s">
        <v>81</v>
      </c>
      <c r="F4" s="21" t="s">
        <v>82</v>
      </c>
    </row>
    <row r="5" spans="1:6" ht="15" customHeight="1" x14ac:dyDescent="0.35">
      <c r="A5" s="3" t="s">
        <v>83</v>
      </c>
      <c r="B5" s="22">
        <v>0</v>
      </c>
      <c r="C5" s="4" t="s">
        <v>84</v>
      </c>
      <c r="D5" s="3" t="s">
        <v>85</v>
      </c>
      <c r="E5" s="22">
        <v>0</v>
      </c>
      <c r="F5" s="4" t="s">
        <v>84</v>
      </c>
    </row>
    <row r="6" spans="1:6" ht="15" customHeight="1" x14ac:dyDescent="0.35">
      <c r="A6" s="3" t="s">
        <v>86</v>
      </c>
      <c r="B6" s="22">
        <v>0</v>
      </c>
      <c r="C6" s="4" t="s">
        <v>84</v>
      </c>
      <c r="D6" s="3" t="s">
        <v>87</v>
      </c>
      <c r="E6" s="22">
        <v>0</v>
      </c>
      <c r="F6" s="4" t="s">
        <v>84</v>
      </c>
    </row>
    <row r="7" spans="1:6" ht="15" customHeight="1" x14ac:dyDescent="0.35">
      <c r="A7" s="3" t="s">
        <v>88</v>
      </c>
      <c r="B7" s="22">
        <v>0</v>
      </c>
      <c r="C7" s="4" t="s">
        <v>84</v>
      </c>
      <c r="D7" s="3" t="s">
        <v>89</v>
      </c>
      <c r="E7" s="22">
        <v>0</v>
      </c>
      <c r="F7" s="4" t="s">
        <v>84</v>
      </c>
    </row>
    <row r="8" spans="1:6" ht="15" customHeight="1" x14ac:dyDescent="0.35">
      <c r="A8" s="3" t="s">
        <v>90</v>
      </c>
      <c r="B8" s="22">
        <v>0</v>
      </c>
      <c r="C8" s="4" t="s">
        <v>84</v>
      </c>
      <c r="D8" s="3" t="s">
        <v>91</v>
      </c>
      <c r="E8" s="22">
        <v>0</v>
      </c>
      <c r="F8" s="4" t="s">
        <v>84</v>
      </c>
    </row>
    <row r="9" spans="1:6" ht="15" customHeight="1" x14ac:dyDescent="0.35">
      <c r="A9" s="3" t="s">
        <v>92</v>
      </c>
      <c r="B9" s="22">
        <v>0</v>
      </c>
      <c r="C9" s="4" t="s">
        <v>84</v>
      </c>
    </row>
    <row r="11" spans="1:6" ht="15" customHeight="1" x14ac:dyDescent="0.35">
      <c r="A11" s="23" t="s">
        <v>93</v>
      </c>
      <c r="B11" s="24">
        <f>SUMPRODUCT((C5:C9="Y")*B5:B9)</f>
        <v>0</v>
      </c>
      <c r="D11" s="23" t="s">
        <v>94</v>
      </c>
      <c r="E11" s="24">
        <f>SUMPRODUCT((F5:F9="Y")*E5:E9)</f>
        <v>0</v>
      </c>
    </row>
    <row r="12" spans="1:6" ht="15" customHeight="1" x14ac:dyDescent="0.35">
      <c r="D12" s="23" t="s">
        <v>95</v>
      </c>
      <c r="E12" s="24">
        <f>B11-E11</f>
        <v>0</v>
      </c>
    </row>
    <row r="14" spans="1:6" ht="15" customHeight="1" x14ac:dyDescent="0.35">
      <c r="A14" s="66" t="s">
        <v>96</v>
      </c>
      <c r="B14" s="67"/>
      <c r="C14" s="67"/>
      <c r="D14" s="67"/>
      <c r="E14" s="67"/>
      <c r="F14" s="67"/>
    </row>
    <row r="15" spans="1:6" ht="15" customHeight="1" x14ac:dyDescent="0.35">
      <c r="A15" s="25" t="s">
        <v>97</v>
      </c>
    </row>
    <row r="16" spans="1:6" ht="15" customHeight="1" x14ac:dyDescent="0.35">
      <c r="A16" s="3" t="s">
        <v>98</v>
      </c>
      <c r="B16" s="26" t="str">
        <f>IF(E11=0,"N/A",E11/B12)</f>
        <v>N/A</v>
      </c>
    </row>
    <row r="17" spans="1:2" ht="15" customHeight="1" x14ac:dyDescent="0.35">
      <c r="A17" s="3" t="s">
        <v>99</v>
      </c>
      <c r="B17" s="26" t="str">
        <f>IF(B11=0,"N/A",E11/B11)</f>
        <v>N/A</v>
      </c>
    </row>
    <row r="18" spans="1:2" ht="15" customHeight="1" x14ac:dyDescent="0.35">
      <c r="A18" s="3" t="s">
        <v>100</v>
      </c>
      <c r="B18" s="26" t="str">
        <f>IF(B11=0,"N/A",B12/B11)</f>
        <v>N/A</v>
      </c>
    </row>
  </sheetData>
  <mergeCells count="4">
    <mergeCell ref="A1:F1"/>
    <mergeCell ref="A14:F14"/>
    <mergeCell ref="D3:F3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1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8" width="16" customWidth="1"/>
  </cols>
  <sheetData>
    <row r="1" spans="1:8" ht="34.5" customHeight="1" x14ac:dyDescent="0.35">
      <c r="A1" s="72" t="s">
        <v>101</v>
      </c>
      <c r="B1" s="67"/>
      <c r="C1" s="67"/>
      <c r="D1" s="67"/>
      <c r="E1" s="67"/>
      <c r="F1" s="67"/>
      <c r="G1" s="67"/>
      <c r="H1" s="67"/>
    </row>
    <row r="3" spans="1:8" ht="15" customHeight="1" x14ac:dyDescent="0.35">
      <c r="A3" s="66" t="s">
        <v>102</v>
      </c>
      <c r="B3" s="67"/>
      <c r="C3" s="67"/>
      <c r="D3" s="67"/>
    </row>
    <row r="4" spans="1:8" ht="15" customHeight="1" x14ac:dyDescent="0.35">
      <c r="A4" s="73" t="s">
        <v>103</v>
      </c>
      <c r="B4" s="67"/>
      <c r="C4" s="67"/>
      <c r="D4" s="67"/>
    </row>
    <row r="5" spans="1:8" ht="15" customHeight="1" x14ac:dyDescent="0.35">
      <c r="A5" s="3" t="s">
        <v>104</v>
      </c>
      <c r="B5" s="27">
        <v>100</v>
      </c>
    </row>
    <row r="6" spans="1:8" ht="15" customHeight="1" x14ac:dyDescent="0.35">
      <c r="A6" s="3" t="s">
        <v>105</v>
      </c>
      <c r="B6" s="28">
        <v>0.05</v>
      </c>
    </row>
    <row r="7" spans="1:8" ht="15" customHeight="1" x14ac:dyDescent="0.35">
      <c r="A7" s="3" t="s">
        <v>106</v>
      </c>
      <c r="B7" s="29">
        <v>3</v>
      </c>
    </row>
    <row r="8" spans="1:8" ht="15" customHeight="1" x14ac:dyDescent="0.35">
      <c r="A8" s="23" t="s">
        <v>107</v>
      </c>
      <c r="C8" s="3" t="s">
        <v>108</v>
      </c>
      <c r="D8" s="30">
        <f>B5/(1+B6)^B7</f>
        <v>86.383759853147595</v>
      </c>
    </row>
    <row r="10" spans="1:8" ht="15" customHeight="1" x14ac:dyDescent="0.35">
      <c r="A10" s="73" t="s">
        <v>109</v>
      </c>
      <c r="B10" s="67"/>
      <c r="C10" s="67"/>
      <c r="D10" s="67"/>
    </row>
    <row r="11" spans="1:8" ht="15" customHeight="1" x14ac:dyDescent="0.35">
      <c r="A11" s="3" t="s">
        <v>110</v>
      </c>
      <c r="B11" s="27">
        <v>90</v>
      </c>
    </row>
    <row r="12" spans="1:8" ht="15" customHeight="1" x14ac:dyDescent="0.35">
      <c r="A12" s="3" t="s">
        <v>105</v>
      </c>
      <c r="B12" s="28">
        <v>0.05</v>
      </c>
    </row>
    <row r="13" spans="1:8" ht="15" customHeight="1" x14ac:dyDescent="0.35">
      <c r="A13" s="3" t="s">
        <v>106</v>
      </c>
      <c r="B13" s="29">
        <v>3</v>
      </c>
    </row>
    <row r="14" spans="1:8" ht="15" customHeight="1" x14ac:dyDescent="0.35">
      <c r="A14" s="23" t="s">
        <v>107</v>
      </c>
      <c r="C14" s="3" t="s">
        <v>108</v>
      </c>
      <c r="D14" s="30">
        <f>B11*(1+B12)^B13</f>
        <v>104.18625000000002</v>
      </c>
    </row>
    <row r="16" spans="1:8" ht="15" customHeight="1" x14ac:dyDescent="0.35">
      <c r="A16" s="73" t="s">
        <v>111</v>
      </c>
      <c r="B16" s="67"/>
      <c r="C16" s="67"/>
      <c r="D16" s="67"/>
    </row>
    <row r="17" spans="1:4" ht="15" customHeight="1" x14ac:dyDescent="0.35">
      <c r="A17" s="3" t="s">
        <v>112</v>
      </c>
      <c r="B17" s="27">
        <v>10</v>
      </c>
    </row>
    <row r="18" spans="1:4" ht="15" customHeight="1" x14ac:dyDescent="0.35">
      <c r="A18" s="3" t="s">
        <v>105</v>
      </c>
      <c r="B18" s="28">
        <v>0.05</v>
      </c>
    </row>
    <row r="19" spans="1:4" ht="15" customHeight="1" x14ac:dyDescent="0.35">
      <c r="A19" s="3" t="s">
        <v>106</v>
      </c>
      <c r="B19" s="29">
        <v>4</v>
      </c>
    </row>
    <row r="20" spans="1:4" ht="15" customHeight="1" x14ac:dyDescent="0.35">
      <c r="A20" s="23" t="s">
        <v>107</v>
      </c>
      <c r="C20" s="3" t="s">
        <v>108</v>
      </c>
      <c r="D20" s="30">
        <f>IF(B18=0,"Rate=0!",B17*(1-(1+B18)^-B19)/B18)</f>
        <v>35.459505041623608</v>
      </c>
    </row>
    <row r="22" spans="1:4" ht="15" customHeight="1" x14ac:dyDescent="0.35">
      <c r="A22" s="73" t="s">
        <v>113</v>
      </c>
      <c r="B22" s="67"/>
      <c r="C22" s="67"/>
      <c r="D22" s="67"/>
    </row>
    <row r="23" spans="1:4" ht="15" customHeight="1" x14ac:dyDescent="0.35">
      <c r="A23" s="3" t="s">
        <v>112</v>
      </c>
      <c r="B23" s="27">
        <v>10</v>
      </c>
    </row>
    <row r="24" spans="1:4" ht="15" customHeight="1" x14ac:dyDescent="0.35">
      <c r="A24" s="3" t="s">
        <v>105</v>
      </c>
      <c r="B24" s="28">
        <v>0.05</v>
      </c>
    </row>
    <row r="25" spans="1:4" ht="15" customHeight="1" x14ac:dyDescent="0.35">
      <c r="A25" s="23" t="s">
        <v>107</v>
      </c>
      <c r="C25" s="3" t="s">
        <v>108</v>
      </c>
      <c r="D25" s="30">
        <f>IF(B24=0,"Rate=0!",B23/B24)</f>
        <v>200</v>
      </c>
    </row>
    <row r="27" spans="1:4" ht="15" customHeight="1" x14ac:dyDescent="0.35">
      <c r="A27" s="73" t="s">
        <v>114</v>
      </c>
      <c r="B27" s="67"/>
      <c r="C27" s="67"/>
      <c r="D27" s="67"/>
    </row>
    <row r="28" spans="1:4" ht="15" customHeight="1" x14ac:dyDescent="0.35">
      <c r="A28" s="3" t="s">
        <v>112</v>
      </c>
      <c r="B28" s="27">
        <v>10</v>
      </c>
    </row>
    <row r="29" spans="1:4" ht="15" customHeight="1" x14ac:dyDescent="0.35">
      <c r="A29" s="3" t="s">
        <v>105</v>
      </c>
      <c r="B29" s="28">
        <v>0.05</v>
      </c>
    </row>
    <row r="30" spans="1:4" ht="15" customHeight="1" x14ac:dyDescent="0.35">
      <c r="A30" s="3" t="s">
        <v>106</v>
      </c>
      <c r="B30" s="29">
        <v>4</v>
      </c>
    </row>
    <row r="31" spans="1:4" ht="15" customHeight="1" x14ac:dyDescent="0.35">
      <c r="A31" s="23" t="s">
        <v>107</v>
      </c>
      <c r="C31" s="3" t="s">
        <v>108</v>
      </c>
      <c r="D31" s="30">
        <f>IF(B29=0,"Rate=0!",B28*((1+B29)^B30-1)/B29)</f>
        <v>43.10125</v>
      </c>
    </row>
    <row r="34" spans="1:8" ht="15" customHeight="1" x14ac:dyDescent="0.35">
      <c r="A34" s="66" t="s">
        <v>115</v>
      </c>
      <c r="B34" s="67"/>
      <c r="C34" s="67"/>
      <c r="D34" s="67"/>
      <c r="E34" s="67"/>
      <c r="F34" s="67"/>
      <c r="G34" s="67"/>
      <c r="H34" s="67"/>
    </row>
    <row r="35" spans="1:8" ht="15" customHeight="1" x14ac:dyDescent="0.35">
      <c r="A35" s="3" t="s">
        <v>116</v>
      </c>
      <c r="B35" s="22">
        <v>200000</v>
      </c>
    </row>
    <row r="36" spans="1:8" ht="15" customHeight="1" x14ac:dyDescent="0.35">
      <c r="A36" s="3" t="s">
        <v>117</v>
      </c>
      <c r="B36" s="14">
        <v>0.05</v>
      </c>
    </row>
    <row r="37" spans="1:8" ht="15" customHeight="1" x14ac:dyDescent="0.35">
      <c r="A37" s="3" t="s">
        <v>118</v>
      </c>
      <c r="B37" s="29">
        <v>10</v>
      </c>
    </row>
    <row r="38" spans="1:8" ht="15" customHeight="1" x14ac:dyDescent="0.35">
      <c r="A38" s="3" t="s">
        <v>119</v>
      </c>
      <c r="B38" s="29">
        <v>1</v>
      </c>
    </row>
    <row r="39" spans="1:8" ht="15" customHeight="1" x14ac:dyDescent="0.35">
      <c r="A39" s="3" t="s">
        <v>120</v>
      </c>
      <c r="B39" s="17">
        <f>IF(B38=0,0,-PMT(B36/B38,B37*B38,B35))</f>
        <v>25900.914993091334</v>
      </c>
    </row>
    <row r="41" spans="1:8" ht="15" customHeight="1" x14ac:dyDescent="0.35">
      <c r="A41" s="21" t="s">
        <v>121</v>
      </c>
      <c r="B41" s="21" t="s">
        <v>122</v>
      </c>
      <c r="C41" s="21" t="s">
        <v>112</v>
      </c>
      <c r="D41" s="21" t="s">
        <v>123</v>
      </c>
      <c r="E41" s="21" t="s">
        <v>124</v>
      </c>
      <c r="F41" s="21" t="s">
        <v>125</v>
      </c>
    </row>
    <row r="42" spans="1:8" ht="15" customHeight="1" x14ac:dyDescent="0.35">
      <c r="A42" s="5">
        <f>1</f>
        <v>1</v>
      </c>
      <c r="B42" s="16">
        <f>B35</f>
        <v>200000</v>
      </c>
      <c r="C42" s="16">
        <f t="shared" ref="C42:C71" si="0">IF(B42="","",MIN(B42,$B$39))</f>
        <v>25900.914993091334</v>
      </c>
      <c r="D42" s="16">
        <f t="shared" ref="D42:D71" si="1">IF(B42="","",B42*$B$36/$B$38)</f>
        <v>10000</v>
      </c>
      <c r="E42" s="16">
        <f t="shared" ref="E42:E71" si="2">IF(B42="","",C42-D42)</f>
        <v>15900.914993091334</v>
      </c>
      <c r="F42" s="16">
        <f t="shared" ref="F42:F71" si="3">IF(B42="","",MAX(0,B42-E42))</f>
        <v>184099.08500690866</v>
      </c>
    </row>
    <row r="43" spans="1:8" ht="15" customHeight="1" x14ac:dyDescent="0.35">
      <c r="A43" s="5">
        <f>42+1</f>
        <v>43</v>
      </c>
      <c r="B43" s="16" t="str">
        <f t="shared" ref="B43:B71" si="4">IF(G42&lt;=0,"",G42)</f>
        <v/>
      </c>
      <c r="C43" s="16" t="str">
        <f t="shared" si="0"/>
        <v/>
      </c>
      <c r="D43" s="16" t="str">
        <f t="shared" si="1"/>
        <v/>
      </c>
      <c r="E43" s="16" t="str">
        <f t="shared" si="2"/>
        <v/>
      </c>
      <c r="F43" s="16" t="str">
        <f t="shared" si="3"/>
        <v/>
      </c>
    </row>
    <row r="44" spans="1:8" ht="15" customHeight="1" x14ac:dyDescent="0.35">
      <c r="A44" s="5">
        <f>43+1</f>
        <v>44</v>
      </c>
      <c r="B44" s="16" t="str">
        <f t="shared" si="4"/>
        <v/>
      </c>
      <c r="C44" s="16" t="str">
        <f t="shared" si="0"/>
        <v/>
      </c>
      <c r="D44" s="16" t="str">
        <f t="shared" si="1"/>
        <v/>
      </c>
      <c r="E44" s="16" t="str">
        <f t="shared" si="2"/>
        <v/>
      </c>
      <c r="F44" s="16" t="str">
        <f t="shared" si="3"/>
        <v/>
      </c>
    </row>
    <row r="45" spans="1:8" ht="15" customHeight="1" x14ac:dyDescent="0.35">
      <c r="A45" s="5">
        <f>44+1</f>
        <v>45</v>
      </c>
      <c r="B45" s="16" t="str">
        <f t="shared" si="4"/>
        <v/>
      </c>
      <c r="C45" s="16" t="str">
        <f t="shared" si="0"/>
        <v/>
      </c>
      <c r="D45" s="16" t="str">
        <f t="shared" si="1"/>
        <v/>
      </c>
      <c r="E45" s="16" t="str">
        <f t="shared" si="2"/>
        <v/>
      </c>
      <c r="F45" s="16" t="str">
        <f t="shared" si="3"/>
        <v/>
      </c>
    </row>
    <row r="46" spans="1:8" ht="15" customHeight="1" x14ac:dyDescent="0.35">
      <c r="A46" s="5">
        <f>45+1</f>
        <v>46</v>
      </c>
      <c r="B46" s="16" t="str">
        <f t="shared" si="4"/>
        <v/>
      </c>
      <c r="C46" s="16" t="str">
        <f t="shared" si="0"/>
        <v/>
      </c>
      <c r="D46" s="16" t="str">
        <f t="shared" si="1"/>
        <v/>
      </c>
      <c r="E46" s="16" t="str">
        <f t="shared" si="2"/>
        <v/>
      </c>
      <c r="F46" s="16" t="str">
        <f t="shared" si="3"/>
        <v/>
      </c>
    </row>
    <row r="47" spans="1:8" ht="15" customHeight="1" x14ac:dyDescent="0.35">
      <c r="A47" s="5">
        <f>46+1</f>
        <v>47</v>
      </c>
      <c r="B47" s="16" t="str">
        <f t="shared" si="4"/>
        <v/>
      </c>
      <c r="C47" s="16" t="str">
        <f t="shared" si="0"/>
        <v/>
      </c>
      <c r="D47" s="16" t="str">
        <f t="shared" si="1"/>
        <v/>
      </c>
      <c r="E47" s="16" t="str">
        <f t="shared" si="2"/>
        <v/>
      </c>
      <c r="F47" s="16" t="str">
        <f t="shared" si="3"/>
        <v/>
      </c>
    </row>
    <row r="48" spans="1:8" ht="15" customHeight="1" x14ac:dyDescent="0.35">
      <c r="A48" s="5">
        <f>47+1</f>
        <v>48</v>
      </c>
      <c r="B48" s="16" t="str">
        <f t="shared" si="4"/>
        <v/>
      </c>
      <c r="C48" s="16" t="str">
        <f t="shared" si="0"/>
        <v/>
      </c>
      <c r="D48" s="16" t="str">
        <f t="shared" si="1"/>
        <v/>
      </c>
      <c r="E48" s="16" t="str">
        <f t="shared" si="2"/>
        <v/>
      </c>
      <c r="F48" s="16" t="str">
        <f t="shared" si="3"/>
        <v/>
      </c>
    </row>
    <row r="49" spans="1:6" ht="15" customHeight="1" x14ac:dyDescent="0.35">
      <c r="A49" s="5">
        <f>48+1</f>
        <v>49</v>
      </c>
      <c r="B49" s="16" t="str">
        <f t="shared" si="4"/>
        <v/>
      </c>
      <c r="C49" s="16" t="str">
        <f t="shared" si="0"/>
        <v/>
      </c>
      <c r="D49" s="16" t="str">
        <f t="shared" si="1"/>
        <v/>
      </c>
      <c r="E49" s="16" t="str">
        <f t="shared" si="2"/>
        <v/>
      </c>
      <c r="F49" s="16" t="str">
        <f t="shared" si="3"/>
        <v/>
      </c>
    </row>
    <row r="50" spans="1:6" ht="15" customHeight="1" x14ac:dyDescent="0.35">
      <c r="A50" s="5">
        <f>49+1</f>
        <v>50</v>
      </c>
      <c r="B50" s="16" t="str">
        <f t="shared" si="4"/>
        <v/>
      </c>
      <c r="C50" s="16" t="str">
        <f t="shared" si="0"/>
        <v/>
      </c>
      <c r="D50" s="16" t="str">
        <f t="shared" si="1"/>
        <v/>
      </c>
      <c r="E50" s="16" t="str">
        <f t="shared" si="2"/>
        <v/>
      </c>
      <c r="F50" s="16" t="str">
        <f t="shared" si="3"/>
        <v/>
      </c>
    </row>
    <row r="51" spans="1:6" ht="15" customHeight="1" x14ac:dyDescent="0.35">
      <c r="A51" s="5">
        <f>50+1</f>
        <v>51</v>
      </c>
      <c r="B51" s="16" t="str">
        <f t="shared" si="4"/>
        <v/>
      </c>
      <c r="C51" s="16" t="str">
        <f t="shared" si="0"/>
        <v/>
      </c>
      <c r="D51" s="16" t="str">
        <f t="shared" si="1"/>
        <v/>
      </c>
      <c r="E51" s="16" t="str">
        <f t="shared" si="2"/>
        <v/>
      </c>
      <c r="F51" s="16" t="str">
        <f t="shared" si="3"/>
        <v/>
      </c>
    </row>
    <row r="52" spans="1:6" ht="15" customHeight="1" x14ac:dyDescent="0.35">
      <c r="A52" s="5">
        <f>51+1</f>
        <v>52</v>
      </c>
      <c r="B52" s="16" t="str">
        <f t="shared" si="4"/>
        <v/>
      </c>
      <c r="C52" s="16" t="str">
        <f t="shared" si="0"/>
        <v/>
      </c>
      <c r="D52" s="16" t="str">
        <f t="shared" si="1"/>
        <v/>
      </c>
      <c r="E52" s="16" t="str">
        <f t="shared" si="2"/>
        <v/>
      </c>
      <c r="F52" s="16" t="str">
        <f t="shared" si="3"/>
        <v/>
      </c>
    </row>
    <row r="53" spans="1:6" ht="15" customHeight="1" x14ac:dyDescent="0.35">
      <c r="A53" s="5">
        <f>52+1</f>
        <v>53</v>
      </c>
      <c r="B53" s="16" t="str">
        <f t="shared" si="4"/>
        <v/>
      </c>
      <c r="C53" s="16" t="str">
        <f t="shared" si="0"/>
        <v/>
      </c>
      <c r="D53" s="16" t="str">
        <f t="shared" si="1"/>
        <v/>
      </c>
      <c r="E53" s="16" t="str">
        <f t="shared" si="2"/>
        <v/>
      </c>
      <c r="F53" s="16" t="str">
        <f t="shared" si="3"/>
        <v/>
      </c>
    </row>
    <row r="54" spans="1:6" ht="15" customHeight="1" x14ac:dyDescent="0.35">
      <c r="A54" s="5">
        <f>53+1</f>
        <v>54</v>
      </c>
      <c r="B54" s="16" t="str">
        <f t="shared" si="4"/>
        <v/>
      </c>
      <c r="C54" s="16" t="str">
        <f t="shared" si="0"/>
        <v/>
      </c>
      <c r="D54" s="16" t="str">
        <f t="shared" si="1"/>
        <v/>
      </c>
      <c r="E54" s="16" t="str">
        <f t="shared" si="2"/>
        <v/>
      </c>
      <c r="F54" s="16" t="str">
        <f t="shared" si="3"/>
        <v/>
      </c>
    </row>
    <row r="55" spans="1:6" ht="15" customHeight="1" x14ac:dyDescent="0.35">
      <c r="A55" s="5">
        <f>54+1</f>
        <v>55</v>
      </c>
      <c r="B55" s="16" t="str">
        <f t="shared" si="4"/>
        <v/>
      </c>
      <c r="C55" s="16" t="str">
        <f t="shared" si="0"/>
        <v/>
      </c>
      <c r="D55" s="16" t="str">
        <f t="shared" si="1"/>
        <v/>
      </c>
      <c r="E55" s="16" t="str">
        <f t="shared" si="2"/>
        <v/>
      </c>
      <c r="F55" s="16" t="str">
        <f t="shared" si="3"/>
        <v/>
      </c>
    </row>
    <row r="56" spans="1:6" ht="15" customHeight="1" x14ac:dyDescent="0.35">
      <c r="A56" s="5">
        <f>55+1</f>
        <v>56</v>
      </c>
      <c r="B56" s="16" t="str">
        <f t="shared" si="4"/>
        <v/>
      </c>
      <c r="C56" s="16" t="str">
        <f t="shared" si="0"/>
        <v/>
      </c>
      <c r="D56" s="16" t="str">
        <f t="shared" si="1"/>
        <v/>
      </c>
      <c r="E56" s="16" t="str">
        <f t="shared" si="2"/>
        <v/>
      </c>
      <c r="F56" s="16" t="str">
        <f t="shared" si="3"/>
        <v/>
      </c>
    </row>
    <row r="57" spans="1:6" ht="15" customHeight="1" x14ac:dyDescent="0.35">
      <c r="A57" s="5">
        <f>56+1</f>
        <v>57</v>
      </c>
      <c r="B57" s="16" t="str">
        <f t="shared" si="4"/>
        <v/>
      </c>
      <c r="C57" s="16" t="str">
        <f t="shared" si="0"/>
        <v/>
      </c>
      <c r="D57" s="16" t="str">
        <f t="shared" si="1"/>
        <v/>
      </c>
      <c r="E57" s="16" t="str">
        <f t="shared" si="2"/>
        <v/>
      </c>
      <c r="F57" s="16" t="str">
        <f t="shared" si="3"/>
        <v/>
      </c>
    </row>
    <row r="58" spans="1:6" ht="15" customHeight="1" x14ac:dyDescent="0.35">
      <c r="A58" s="5">
        <f>57+1</f>
        <v>58</v>
      </c>
      <c r="B58" s="16" t="str">
        <f t="shared" si="4"/>
        <v/>
      </c>
      <c r="C58" s="16" t="str">
        <f t="shared" si="0"/>
        <v/>
      </c>
      <c r="D58" s="16" t="str">
        <f t="shared" si="1"/>
        <v/>
      </c>
      <c r="E58" s="16" t="str">
        <f t="shared" si="2"/>
        <v/>
      </c>
      <c r="F58" s="16" t="str">
        <f t="shared" si="3"/>
        <v/>
      </c>
    </row>
    <row r="59" spans="1:6" ht="15" customHeight="1" x14ac:dyDescent="0.35">
      <c r="A59" s="5">
        <f>58+1</f>
        <v>59</v>
      </c>
      <c r="B59" s="16" t="str">
        <f t="shared" si="4"/>
        <v/>
      </c>
      <c r="C59" s="16" t="str">
        <f t="shared" si="0"/>
        <v/>
      </c>
      <c r="D59" s="16" t="str">
        <f t="shared" si="1"/>
        <v/>
      </c>
      <c r="E59" s="16" t="str">
        <f t="shared" si="2"/>
        <v/>
      </c>
      <c r="F59" s="16" t="str">
        <f t="shared" si="3"/>
        <v/>
      </c>
    </row>
    <row r="60" spans="1:6" ht="15" customHeight="1" x14ac:dyDescent="0.35">
      <c r="A60" s="5">
        <f>59+1</f>
        <v>60</v>
      </c>
      <c r="B60" s="16" t="str">
        <f t="shared" si="4"/>
        <v/>
      </c>
      <c r="C60" s="16" t="str">
        <f t="shared" si="0"/>
        <v/>
      </c>
      <c r="D60" s="16" t="str">
        <f t="shared" si="1"/>
        <v/>
      </c>
      <c r="E60" s="16" t="str">
        <f t="shared" si="2"/>
        <v/>
      </c>
      <c r="F60" s="16" t="str">
        <f t="shared" si="3"/>
        <v/>
      </c>
    </row>
    <row r="61" spans="1:6" ht="15" customHeight="1" x14ac:dyDescent="0.35">
      <c r="A61" s="5">
        <f>60+1</f>
        <v>61</v>
      </c>
      <c r="B61" s="16" t="str">
        <f t="shared" si="4"/>
        <v/>
      </c>
      <c r="C61" s="16" t="str">
        <f t="shared" si="0"/>
        <v/>
      </c>
      <c r="D61" s="16" t="str">
        <f t="shared" si="1"/>
        <v/>
      </c>
      <c r="E61" s="16" t="str">
        <f t="shared" si="2"/>
        <v/>
      </c>
      <c r="F61" s="16" t="str">
        <f t="shared" si="3"/>
        <v/>
      </c>
    </row>
    <row r="62" spans="1:6" ht="15" customHeight="1" x14ac:dyDescent="0.35">
      <c r="A62" s="5">
        <f>61+1</f>
        <v>62</v>
      </c>
      <c r="B62" s="16" t="str">
        <f t="shared" si="4"/>
        <v/>
      </c>
      <c r="C62" s="16" t="str">
        <f t="shared" si="0"/>
        <v/>
      </c>
      <c r="D62" s="16" t="str">
        <f t="shared" si="1"/>
        <v/>
      </c>
      <c r="E62" s="16" t="str">
        <f t="shared" si="2"/>
        <v/>
      </c>
      <c r="F62" s="16" t="str">
        <f t="shared" si="3"/>
        <v/>
      </c>
    </row>
    <row r="63" spans="1:6" ht="15" customHeight="1" x14ac:dyDescent="0.35">
      <c r="A63" s="5">
        <f>62+1</f>
        <v>63</v>
      </c>
      <c r="B63" s="16" t="str">
        <f t="shared" si="4"/>
        <v/>
      </c>
      <c r="C63" s="16" t="str">
        <f t="shared" si="0"/>
        <v/>
      </c>
      <c r="D63" s="16" t="str">
        <f t="shared" si="1"/>
        <v/>
      </c>
      <c r="E63" s="16" t="str">
        <f t="shared" si="2"/>
        <v/>
      </c>
      <c r="F63" s="16" t="str">
        <f t="shared" si="3"/>
        <v/>
      </c>
    </row>
    <row r="64" spans="1:6" ht="15" customHeight="1" x14ac:dyDescent="0.35">
      <c r="A64" s="5">
        <f>63+1</f>
        <v>64</v>
      </c>
      <c r="B64" s="16" t="str">
        <f t="shared" si="4"/>
        <v/>
      </c>
      <c r="C64" s="16" t="str">
        <f t="shared" si="0"/>
        <v/>
      </c>
      <c r="D64" s="16" t="str">
        <f t="shared" si="1"/>
        <v/>
      </c>
      <c r="E64" s="16" t="str">
        <f t="shared" si="2"/>
        <v/>
      </c>
      <c r="F64" s="16" t="str">
        <f t="shared" si="3"/>
        <v/>
      </c>
    </row>
    <row r="65" spans="1:6" ht="15" customHeight="1" x14ac:dyDescent="0.35">
      <c r="A65" s="5">
        <f>64+1</f>
        <v>65</v>
      </c>
      <c r="B65" s="16" t="str">
        <f t="shared" si="4"/>
        <v/>
      </c>
      <c r="C65" s="16" t="str">
        <f t="shared" si="0"/>
        <v/>
      </c>
      <c r="D65" s="16" t="str">
        <f t="shared" si="1"/>
        <v/>
      </c>
      <c r="E65" s="16" t="str">
        <f t="shared" si="2"/>
        <v/>
      </c>
      <c r="F65" s="16" t="str">
        <f t="shared" si="3"/>
        <v/>
      </c>
    </row>
    <row r="66" spans="1:6" ht="15" customHeight="1" x14ac:dyDescent="0.35">
      <c r="A66" s="5">
        <f>65+1</f>
        <v>66</v>
      </c>
      <c r="B66" s="16" t="str">
        <f t="shared" si="4"/>
        <v/>
      </c>
      <c r="C66" s="16" t="str">
        <f t="shared" si="0"/>
        <v/>
      </c>
      <c r="D66" s="16" t="str">
        <f t="shared" si="1"/>
        <v/>
      </c>
      <c r="E66" s="16" t="str">
        <f t="shared" si="2"/>
        <v/>
      </c>
      <c r="F66" s="16" t="str">
        <f t="shared" si="3"/>
        <v/>
      </c>
    </row>
    <row r="67" spans="1:6" ht="15" customHeight="1" x14ac:dyDescent="0.35">
      <c r="A67" s="5">
        <f>66+1</f>
        <v>67</v>
      </c>
      <c r="B67" s="16" t="str">
        <f t="shared" si="4"/>
        <v/>
      </c>
      <c r="C67" s="16" t="str">
        <f t="shared" si="0"/>
        <v/>
      </c>
      <c r="D67" s="16" t="str">
        <f t="shared" si="1"/>
        <v/>
      </c>
      <c r="E67" s="16" t="str">
        <f t="shared" si="2"/>
        <v/>
      </c>
      <c r="F67" s="16" t="str">
        <f t="shared" si="3"/>
        <v/>
      </c>
    </row>
    <row r="68" spans="1:6" ht="15" customHeight="1" x14ac:dyDescent="0.35">
      <c r="A68" s="5">
        <f>67+1</f>
        <v>68</v>
      </c>
      <c r="B68" s="16" t="str">
        <f t="shared" si="4"/>
        <v/>
      </c>
      <c r="C68" s="16" t="str">
        <f t="shared" si="0"/>
        <v/>
      </c>
      <c r="D68" s="16" t="str">
        <f t="shared" si="1"/>
        <v/>
      </c>
      <c r="E68" s="16" t="str">
        <f t="shared" si="2"/>
        <v/>
      </c>
      <c r="F68" s="16" t="str">
        <f t="shared" si="3"/>
        <v/>
      </c>
    </row>
    <row r="69" spans="1:6" ht="15" customHeight="1" x14ac:dyDescent="0.35">
      <c r="A69" s="5">
        <f>68+1</f>
        <v>69</v>
      </c>
      <c r="B69" s="16" t="str">
        <f t="shared" si="4"/>
        <v/>
      </c>
      <c r="C69" s="16" t="str">
        <f t="shared" si="0"/>
        <v/>
      </c>
      <c r="D69" s="16" t="str">
        <f t="shared" si="1"/>
        <v/>
      </c>
      <c r="E69" s="16" t="str">
        <f t="shared" si="2"/>
        <v/>
      </c>
      <c r="F69" s="16" t="str">
        <f t="shared" si="3"/>
        <v/>
      </c>
    </row>
    <row r="70" spans="1:6" ht="15" customHeight="1" x14ac:dyDescent="0.35">
      <c r="A70" s="5">
        <f>69+1</f>
        <v>70</v>
      </c>
      <c r="B70" s="16" t="str">
        <f t="shared" si="4"/>
        <v/>
      </c>
      <c r="C70" s="16" t="str">
        <f t="shared" si="0"/>
        <v/>
      </c>
      <c r="D70" s="16" t="str">
        <f t="shared" si="1"/>
        <v/>
      </c>
      <c r="E70" s="16" t="str">
        <f t="shared" si="2"/>
        <v/>
      </c>
      <c r="F70" s="16" t="str">
        <f t="shared" si="3"/>
        <v/>
      </c>
    </row>
    <row r="71" spans="1:6" ht="15" customHeight="1" x14ac:dyDescent="0.35">
      <c r="A71" s="5">
        <f>70+1</f>
        <v>71</v>
      </c>
      <c r="B71" s="16" t="str">
        <f t="shared" si="4"/>
        <v/>
      </c>
      <c r="C71" s="16" t="str">
        <f t="shared" si="0"/>
        <v/>
      </c>
      <c r="D71" s="16" t="str">
        <f t="shared" si="1"/>
        <v/>
      </c>
      <c r="E71" s="16" t="str">
        <f t="shared" si="2"/>
        <v/>
      </c>
      <c r="F71" s="16" t="str">
        <f t="shared" si="3"/>
        <v/>
      </c>
    </row>
  </sheetData>
  <mergeCells count="8">
    <mergeCell ref="A1:H1"/>
    <mergeCell ref="A10:D10"/>
    <mergeCell ref="A34:H34"/>
    <mergeCell ref="A27:D27"/>
    <mergeCell ref="A22:D22"/>
    <mergeCell ref="A4:D4"/>
    <mergeCell ref="A3:D3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"/>
  <sheetViews>
    <sheetView showGridLines="0" tabSelected="1" zoomScaleNormal="100" workbookViewId="0">
      <selection activeCell="B6" sqref="B6"/>
    </sheetView>
  </sheetViews>
  <sheetFormatPr defaultColWidth="8.6328125" defaultRowHeight="14.5" x14ac:dyDescent="0.35"/>
  <cols>
    <col min="1" max="1" width="30" customWidth="1"/>
    <col min="2" max="2" width="14" customWidth="1"/>
    <col min="3" max="14" width="12" customWidth="1"/>
  </cols>
  <sheetData>
    <row r="1" spans="1:10" ht="34.5" customHeight="1" x14ac:dyDescent="0.35">
      <c r="A1" s="72" t="s">
        <v>126</v>
      </c>
      <c r="B1" s="67"/>
      <c r="C1" s="67"/>
      <c r="D1" s="67"/>
      <c r="E1" s="67"/>
      <c r="F1" s="67"/>
      <c r="G1" s="67"/>
      <c r="H1" s="67"/>
      <c r="I1" s="67"/>
      <c r="J1" s="67"/>
    </row>
    <row r="3" spans="1:10" ht="15" customHeight="1" x14ac:dyDescent="0.35">
      <c r="A3" s="66" t="s">
        <v>127</v>
      </c>
      <c r="B3" s="67"/>
      <c r="C3" s="67"/>
      <c r="D3" s="67"/>
      <c r="E3" s="67"/>
    </row>
    <row r="4" spans="1:10" ht="15" customHeight="1" x14ac:dyDescent="0.35">
      <c r="A4" s="3" t="s">
        <v>128</v>
      </c>
      <c r="B4" s="22">
        <v>100</v>
      </c>
    </row>
    <row r="5" spans="1:10" ht="15" customHeight="1" x14ac:dyDescent="0.35">
      <c r="A5" s="3" t="s">
        <v>129</v>
      </c>
      <c r="B5" s="14">
        <v>0.03</v>
      </c>
    </row>
    <row r="6" spans="1:10" ht="15" customHeight="1" x14ac:dyDescent="0.35">
      <c r="A6" s="3" t="s">
        <v>130</v>
      </c>
      <c r="B6" s="31">
        <v>2</v>
      </c>
    </row>
    <row r="7" spans="1:10" ht="15" customHeight="1" x14ac:dyDescent="0.35">
      <c r="A7" s="3" t="s">
        <v>131</v>
      </c>
      <c r="B7" s="29">
        <v>2</v>
      </c>
    </row>
    <row r="8" spans="1:10" ht="15" customHeight="1" x14ac:dyDescent="0.35">
      <c r="A8" s="3" t="s">
        <v>132</v>
      </c>
      <c r="B8" s="14">
        <v>0.05</v>
      </c>
    </row>
    <row r="10" spans="1:10" ht="15" customHeight="1" x14ac:dyDescent="0.35">
      <c r="A10" s="66" t="s">
        <v>133</v>
      </c>
      <c r="B10" s="67"/>
      <c r="C10" s="67"/>
      <c r="D10" s="67"/>
      <c r="E10" s="67"/>
    </row>
    <row r="11" spans="1:10" ht="15" customHeight="1" x14ac:dyDescent="0.35">
      <c r="A11" s="3" t="s">
        <v>134</v>
      </c>
      <c r="B11" s="32">
        <f>B5*B4/B7</f>
        <v>1.5</v>
      </c>
    </row>
    <row r="12" spans="1:10" ht="15" customHeight="1" x14ac:dyDescent="0.35">
      <c r="A12" s="3" t="s">
        <v>135</v>
      </c>
      <c r="B12" s="33">
        <f>B6*B7</f>
        <v>4</v>
      </c>
    </row>
    <row r="13" spans="1:10" ht="15" customHeight="1" x14ac:dyDescent="0.35">
      <c r="A13" s="3" t="s">
        <v>136</v>
      </c>
      <c r="B13" s="34">
        <f>-PV(B8/B7,B12,B11,B4)</f>
        <v>96.238025791990196</v>
      </c>
    </row>
    <row r="15" spans="1:10" ht="15" customHeight="1" x14ac:dyDescent="0.35">
      <c r="A15" s="66" t="s">
        <v>137</v>
      </c>
      <c r="B15" s="67"/>
      <c r="C15" s="67"/>
      <c r="D15" s="67"/>
      <c r="E15" s="67"/>
      <c r="F15" s="67"/>
      <c r="G15" s="67"/>
      <c r="H15" s="67"/>
      <c r="I15" s="67"/>
      <c r="J15" s="67"/>
    </row>
    <row r="16" spans="1:10" ht="15" customHeight="1" x14ac:dyDescent="0.35">
      <c r="A16" s="21" t="s">
        <v>121</v>
      </c>
      <c r="B16" s="21" t="s">
        <v>138</v>
      </c>
      <c r="C16" s="21" t="s">
        <v>139</v>
      </c>
      <c r="D16" s="21" t="s">
        <v>140</v>
      </c>
      <c r="E16" s="21" t="s">
        <v>141</v>
      </c>
      <c r="F16" s="21" t="s">
        <v>142</v>
      </c>
    </row>
    <row r="17" spans="1:10" ht="15" customHeight="1" x14ac:dyDescent="0.35">
      <c r="A17" s="5">
        <f>1</f>
        <v>1</v>
      </c>
      <c r="B17" s="35">
        <f t="shared" ref="B17:B26" si="0">A17/B$7</f>
        <v>0.5</v>
      </c>
      <c r="C17" s="36">
        <v>0.05</v>
      </c>
      <c r="D17" s="37">
        <f t="shared" ref="D17:D26" si="1">1/(1+C17/B$7)^A17</f>
        <v>0.97560975609756106</v>
      </c>
      <c r="E17" s="32">
        <f t="shared" ref="E17:E26" si="2">IF(A17=B$12,B$11+B$4,IF(A17&gt;B$12,0,B$11))</f>
        <v>1.5</v>
      </c>
      <c r="F17" s="32">
        <f t="shared" ref="F17:F26" si="3">D17*E17</f>
        <v>1.4634146341463417</v>
      </c>
    </row>
    <row r="18" spans="1:10" ht="15" customHeight="1" x14ac:dyDescent="0.35">
      <c r="A18" s="5">
        <f>2</f>
        <v>2</v>
      </c>
      <c r="B18" s="35">
        <f t="shared" si="0"/>
        <v>1</v>
      </c>
      <c r="C18" s="36">
        <v>5.0999999999999997E-2</v>
      </c>
      <c r="D18" s="37">
        <f t="shared" si="1"/>
        <v>0.95088647580314822</v>
      </c>
      <c r="E18" s="32">
        <f t="shared" si="2"/>
        <v>1.5</v>
      </c>
      <c r="F18" s="32">
        <f t="shared" si="3"/>
        <v>1.4263297137047224</v>
      </c>
    </row>
    <row r="19" spans="1:10" ht="15" customHeight="1" x14ac:dyDescent="0.35">
      <c r="A19" s="5">
        <f>3</f>
        <v>3</v>
      </c>
      <c r="B19" s="35">
        <f t="shared" si="0"/>
        <v>1.5</v>
      </c>
      <c r="C19" s="36">
        <v>5.1999999999999998E-2</v>
      </c>
      <c r="D19" s="37">
        <f t="shared" si="1"/>
        <v>0.9258868535007081</v>
      </c>
      <c r="E19" s="32">
        <f t="shared" si="2"/>
        <v>1.5</v>
      </c>
      <c r="F19" s="32">
        <f t="shared" si="3"/>
        <v>1.3888302802510621</v>
      </c>
    </row>
    <row r="20" spans="1:10" ht="15" customHeight="1" x14ac:dyDescent="0.35">
      <c r="A20" s="5">
        <f>4</f>
        <v>4</v>
      </c>
      <c r="B20" s="35">
        <f t="shared" si="0"/>
        <v>2</v>
      </c>
      <c r="C20" s="36">
        <v>5.2999999999999999E-2</v>
      </c>
      <c r="D20" s="37">
        <f t="shared" si="1"/>
        <v>0.90066686411326491</v>
      </c>
      <c r="E20" s="32">
        <f t="shared" si="2"/>
        <v>101.5</v>
      </c>
      <c r="F20" s="32">
        <f t="shared" si="3"/>
        <v>91.417686707496387</v>
      </c>
    </row>
    <row r="21" spans="1:10" ht="15" customHeight="1" x14ac:dyDescent="0.35">
      <c r="A21" s="5">
        <f>5</f>
        <v>5</v>
      </c>
      <c r="B21" s="35">
        <f t="shared" si="0"/>
        <v>2.5</v>
      </c>
      <c r="C21" s="36">
        <v>5.3999999999999999E-2</v>
      </c>
      <c r="D21" s="37">
        <f t="shared" si="1"/>
        <v>0.87528156594865358</v>
      </c>
      <c r="E21" s="32">
        <f t="shared" si="2"/>
        <v>0</v>
      </c>
      <c r="F21" s="32">
        <f t="shared" si="3"/>
        <v>0</v>
      </c>
    </row>
    <row r="22" spans="1:10" ht="15" customHeight="1" x14ac:dyDescent="0.35">
      <c r="A22" s="5">
        <f>6</f>
        <v>6</v>
      </c>
      <c r="B22" s="35">
        <f t="shared" si="0"/>
        <v>3</v>
      </c>
      <c r="C22" s="36">
        <v>5.5E-2</v>
      </c>
      <c r="D22" s="37">
        <f t="shared" si="1"/>
        <v>0.84978491361064379</v>
      </c>
      <c r="E22" s="32">
        <f t="shared" si="2"/>
        <v>0</v>
      </c>
      <c r="F22" s="32">
        <f t="shared" si="3"/>
        <v>0</v>
      </c>
    </row>
    <row r="23" spans="1:10" ht="15" customHeight="1" x14ac:dyDescent="0.35">
      <c r="A23" s="5">
        <f>7</f>
        <v>7</v>
      </c>
      <c r="B23" s="35">
        <f t="shared" si="0"/>
        <v>3.5</v>
      </c>
      <c r="C23" s="36">
        <v>5.6000000000000001E-2</v>
      </c>
      <c r="D23" s="37">
        <f t="shared" si="1"/>
        <v>0.8242295817666272</v>
      </c>
      <c r="E23" s="32">
        <f t="shared" si="2"/>
        <v>0</v>
      </c>
      <c r="F23" s="32">
        <f t="shared" si="3"/>
        <v>0</v>
      </c>
    </row>
    <row r="24" spans="1:10" ht="15" customHeight="1" x14ac:dyDescent="0.35">
      <c r="A24" s="5">
        <f>8</f>
        <v>8</v>
      </c>
      <c r="B24" s="35">
        <f t="shared" si="0"/>
        <v>4</v>
      </c>
      <c r="C24" s="36">
        <v>5.7000000000000002E-2</v>
      </c>
      <c r="D24" s="37">
        <f t="shared" si="1"/>
        <v>0.79866680046563399</v>
      </c>
      <c r="E24" s="32">
        <f t="shared" si="2"/>
        <v>0</v>
      </c>
      <c r="F24" s="32">
        <f t="shared" si="3"/>
        <v>0</v>
      </c>
    </row>
    <row r="25" spans="1:10" ht="15" customHeight="1" x14ac:dyDescent="0.35">
      <c r="A25" s="5">
        <f>9</f>
        <v>9</v>
      </c>
      <c r="B25" s="35">
        <f t="shared" si="0"/>
        <v>4.5</v>
      </c>
      <c r="C25" s="36">
        <v>5.8000000000000003E-2</v>
      </c>
      <c r="D25" s="37">
        <f t="shared" si="1"/>
        <v>0.77314620260074862</v>
      </c>
      <c r="E25" s="32">
        <f t="shared" si="2"/>
        <v>0</v>
      </c>
      <c r="F25" s="32">
        <f t="shared" si="3"/>
        <v>0</v>
      </c>
    </row>
    <row r="26" spans="1:10" ht="15" customHeight="1" x14ac:dyDescent="0.35">
      <c r="A26" s="5">
        <f>10</f>
        <v>10</v>
      </c>
      <c r="B26" s="35">
        <f t="shared" si="0"/>
        <v>5</v>
      </c>
      <c r="C26" s="36">
        <v>5.8999999999999997E-2</v>
      </c>
      <c r="D26" s="37">
        <f t="shared" si="1"/>
        <v>0.74771568400881683</v>
      </c>
      <c r="E26" s="32">
        <f t="shared" si="2"/>
        <v>0</v>
      </c>
      <c r="F26" s="32">
        <f t="shared" si="3"/>
        <v>0</v>
      </c>
    </row>
    <row r="27" spans="1:10" ht="15" customHeight="1" x14ac:dyDescent="0.35">
      <c r="A27" s="23" t="s">
        <v>143</v>
      </c>
      <c r="B27" s="34">
        <f>SUMIF(E17:E26,"&lt;&gt;0",F17:F26)</f>
        <v>95.696261335598507</v>
      </c>
    </row>
    <row r="29" spans="1:10" ht="15" customHeight="1" x14ac:dyDescent="0.35">
      <c r="A29" s="66" t="s">
        <v>144</v>
      </c>
      <c r="B29" s="67"/>
      <c r="C29" s="67"/>
      <c r="D29" s="67"/>
      <c r="E29" s="67"/>
      <c r="F29" s="67"/>
      <c r="G29" s="67"/>
      <c r="H29" s="67"/>
      <c r="I29" s="67"/>
      <c r="J29" s="67"/>
    </row>
    <row r="30" spans="1:10" ht="15" customHeight="1" x14ac:dyDescent="0.35">
      <c r="A30" s="3" t="s">
        <v>145</v>
      </c>
      <c r="B30" s="38">
        <v>-98.02</v>
      </c>
    </row>
    <row r="31" spans="1:10" ht="15" customHeight="1" x14ac:dyDescent="0.35">
      <c r="A31" s="3" t="s">
        <v>146</v>
      </c>
    </row>
    <row r="32" spans="1:10" ht="15" customHeight="1" x14ac:dyDescent="0.35">
      <c r="A32" s="3" t="s">
        <v>147</v>
      </c>
      <c r="B32" s="18">
        <f>IF(ISNUMBER(B30),IRR(IF({0,1,2,3,4,5,6,7,8,9,10}&lt;=B12,IF({0,1,2,3,4,5,6,7,8,9,10}=0,B30,IF({0,1,2,3,4,5,6,7,8,9,10}=B12,B11+B4,B11)),0))*B7,"N/A")</f>
        <v>4.0405011861868179E-2</v>
      </c>
    </row>
    <row r="34" spans="1:14" ht="15" customHeight="1" x14ac:dyDescent="0.35">
      <c r="A34" s="66" t="s">
        <v>148</v>
      </c>
      <c r="B34" s="67"/>
      <c r="C34" s="67"/>
      <c r="D34" s="67"/>
      <c r="E34" s="67"/>
      <c r="F34" s="67"/>
      <c r="G34" s="67"/>
      <c r="H34" s="67"/>
      <c r="I34" s="67"/>
      <c r="J34" s="67"/>
    </row>
    <row r="35" spans="1:14" ht="15" customHeight="1" x14ac:dyDescent="0.35">
      <c r="A35" s="74" t="s">
        <v>149</v>
      </c>
      <c r="B35" s="67"/>
      <c r="C35" s="67"/>
      <c r="D35" s="67"/>
      <c r="E35" s="67"/>
      <c r="F35" s="67"/>
    </row>
    <row r="36" spans="1:14" ht="15" customHeight="1" x14ac:dyDescent="0.35">
      <c r="A36" s="3" t="s">
        <v>150</v>
      </c>
      <c r="B36" s="39">
        <v>98.02</v>
      </c>
    </row>
    <row r="37" spans="1:14" ht="15" customHeight="1" x14ac:dyDescent="0.35">
      <c r="A37" s="75" t="s">
        <v>151</v>
      </c>
      <c r="B37" s="67"/>
      <c r="C37" s="67"/>
      <c r="D37" s="67"/>
      <c r="E37" s="67"/>
      <c r="F37" s="67"/>
    </row>
    <row r="38" spans="1:14" ht="15" customHeight="1" x14ac:dyDescent="0.35">
      <c r="A38" s="3" t="s">
        <v>152</v>
      </c>
      <c r="B38" s="18" t="str">
        <f>IF(B37&lt;=0,"Enter price&gt;0",IFERROR(2*RATE(B12,B11,-B37,B4),"Use Goal Seek"))</f>
        <v>Enter price&gt;0</v>
      </c>
    </row>
    <row r="39" spans="1:14" ht="15" customHeight="1" x14ac:dyDescent="0.35">
      <c r="A39" s="3" t="s">
        <v>153</v>
      </c>
      <c r="B39" s="40" t="str">
        <f>IFERROR(-PV(B38/B7,B12,B11,B4),"N/A")</f>
        <v>N/A</v>
      </c>
    </row>
    <row r="40" spans="1:14" ht="15" customHeight="1" x14ac:dyDescent="0.35">
      <c r="A40" s="3" t="s">
        <v>154</v>
      </c>
      <c r="B40" s="40" t="str">
        <f>IFERROR(B39-B37,"")</f>
        <v/>
      </c>
    </row>
    <row r="43" spans="1:14" ht="15" customHeight="1" x14ac:dyDescent="0.35">
      <c r="A43" s="66" t="s">
        <v>155</v>
      </c>
      <c r="B43" s="67"/>
      <c r="C43" s="67"/>
      <c r="D43" s="67"/>
      <c r="E43" s="67"/>
      <c r="F43" s="67"/>
      <c r="G43" s="67"/>
      <c r="H43" s="67"/>
      <c r="I43" s="67"/>
      <c r="J43" s="67"/>
    </row>
    <row r="44" spans="1:14" ht="15" customHeight="1" x14ac:dyDescent="0.35">
      <c r="A44" s="69" t="s">
        <v>156</v>
      </c>
      <c r="B44" s="67"/>
      <c r="C44" s="67"/>
      <c r="D44" s="67"/>
      <c r="E44" s="67"/>
      <c r="F44" s="67"/>
      <c r="G44" s="67"/>
      <c r="H44" s="67"/>
      <c r="I44" s="67"/>
      <c r="J44" s="67"/>
    </row>
    <row r="45" spans="1:14" ht="15" customHeight="1" x14ac:dyDescent="0.35">
      <c r="A45" s="3" t="s">
        <v>157</v>
      </c>
      <c r="B45" s="29">
        <v>2</v>
      </c>
    </row>
    <row r="46" spans="1:14" ht="15" customHeight="1" x14ac:dyDescent="0.35">
      <c r="A46" s="74" t="s">
        <v>158</v>
      </c>
      <c r="B46" s="67"/>
      <c r="C46" s="67"/>
      <c r="D46" s="67"/>
      <c r="E46" s="67"/>
      <c r="F46" s="67"/>
      <c r="G46" s="67"/>
      <c r="H46" s="67"/>
      <c r="I46" s="67"/>
      <c r="J46" s="67"/>
    </row>
    <row r="47" spans="1:14" ht="22.4" customHeight="1" x14ac:dyDescent="0.35">
      <c r="A47" s="41" t="s">
        <v>159</v>
      </c>
      <c r="B47" s="41" t="s">
        <v>160</v>
      </c>
      <c r="C47" s="41" t="s">
        <v>161</v>
      </c>
      <c r="D47" s="41" t="s">
        <v>162</v>
      </c>
      <c r="E47" s="41" t="s">
        <v>163</v>
      </c>
      <c r="F47" s="41" t="s">
        <v>164</v>
      </c>
      <c r="G47" s="41" t="s">
        <v>165</v>
      </c>
      <c r="H47" s="41" t="s">
        <v>166</v>
      </c>
      <c r="I47" s="41" t="s">
        <v>167</v>
      </c>
      <c r="J47" s="41" t="s">
        <v>168</v>
      </c>
      <c r="K47" s="41" t="s">
        <v>169</v>
      </c>
      <c r="L47" s="41" t="s">
        <v>170</v>
      </c>
      <c r="M47" s="41" t="s">
        <v>171</v>
      </c>
      <c r="N47" s="41" t="s">
        <v>172</v>
      </c>
    </row>
    <row r="48" spans="1:14" ht="15" customHeight="1" x14ac:dyDescent="0.35">
      <c r="A48" s="38">
        <v>-102</v>
      </c>
      <c r="B48" s="38">
        <v>2.25</v>
      </c>
      <c r="C48" s="38">
        <v>2.25</v>
      </c>
      <c r="D48" s="38">
        <v>2.25</v>
      </c>
      <c r="E48" s="38">
        <v>2.25</v>
      </c>
      <c r="F48" s="38">
        <v>2.25</v>
      </c>
      <c r="G48" s="38">
        <v>2.25</v>
      </c>
      <c r="H48" s="38">
        <v>2.25</v>
      </c>
      <c r="I48" s="38">
        <v>102.25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</row>
    <row r="49" spans="1:2" ht="15" customHeight="1" x14ac:dyDescent="0.35">
      <c r="A49" s="23" t="s">
        <v>173</v>
      </c>
      <c r="B49" s="18"/>
    </row>
    <row r="50" spans="1:2" ht="15" customHeight="1" x14ac:dyDescent="0.35">
      <c r="A50" s="3" t="s">
        <v>174</v>
      </c>
      <c r="B50" s="20"/>
    </row>
  </sheetData>
  <mergeCells count="11">
    <mergeCell ref="A44:J44"/>
    <mergeCell ref="A1:J1"/>
    <mergeCell ref="A46:J46"/>
    <mergeCell ref="A10:E10"/>
    <mergeCell ref="A37:F37"/>
    <mergeCell ref="A34:J34"/>
    <mergeCell ref="A15:J15"/>
    <mergeCell ref="A29:J29"/>
    <mergeCell ref="A35:F35"/>
    <mergeCell ref="A43:J43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"/>
  <sheetViews>
    <sheetView showGridLines="0" topLeftCell="A2" zoomScaleNormal="100" workbookViewId="0">
      <selection activeCell="C27" sqref="C27"/>
    </sheetView>
  </sheetViews>
  <sheetFormatPr defaultColWidth="8.6328125" defaultRowHeight="14.5" x14ac:dyDescent="0.35"/>
  <cols>
    <col min="1" max="1" width="30" customWidth="1"/>
    <col min="2" max="4" width="14" customWidth="1"/>
    <col min="5" max="5" width="12" customWidth="1"/>
    <col min="6" max="6" width="16" customWidth="1"/>
    <col min="7" max="8" width="14" customWidth="1"/>
    <col min="10" max="10" width="9.1796875" bestFit="1" customWidth="1"/>
    <col min="11" max="12" width="10.1796875" bestFit="1" customWidth="1"/>
  </cols>
  <sheetData>
    <row r="1" spans="1:13" ht="34.5" customHeight="1" x14ac:dyDescent="0.35">
      <c r="A1" s="72" t="s">
        <v>175</v>
      </c>
      <c r="B1" s="67"/>
      <c r="C1" s="67"/>
      <c r="D1" s="67"/>
      <c r="E1" s="67"/>
      <c r="F1" s="67"/>
      <c r="G1" s="67"/>
      <c r="H1" s="67"/>
      <c r="I1" s="67"/>
      <c r="J1" s="67"/>
    </row>
    <row r="3" spans="1:13" ht="15" customHeight="1" x14ac:dyDescent="0.35">
      <c r="A3" s="66" t="s">
        <v>127</v>
      </c>
      <c r="B3" s="67"/>
      <c r="C3" s="67"/>
      <c r="D3" s="67"/>
      <c r="E3" s="67"/>
      <c r="F3" s="67"/>
      <c r="L3" s="78"/>
    </row>
    <row r="4" spans="1:13" ht="15" customHeight="1" x14ac:dyDescent="0.35">
      <c r="A4" s="3" t="s">
        <v>176</v>
      </c>
      <c r="B4" s="22">
        <v>100</v>
      </c>
      <c r="J4" s="78">
        <v>1000</v>
      </c>
      <c r="K4">
        <v>10</v>
      </c>
      <c r="L4" s="80">
        <f>(J4/$J$6)</f>
        <v>0.2857142857142857</v>
      </c>
      <c r="M4">
        <f>K4*L4</f>
        <v>2.8571428571428568</v>
      </c>
    </row>
    <row r="5" spans="1:13" ht="15" customHeight="1" x14ac:dyDescent="0.35">
      <c r="A5" s="3" t="s">
        <v>129</v>
      </c>
      <c r="B5" s="14">
        <v>0</v>
      </c>
      <c r="J5" s="78">
        <v>2500</v>
      </c>
      <c r="K5">
        <v>20</v>
      </c>
      <c r="L5" s="80">
        <f>(J5/$J$6)</f>
        <v>0.7142857142857143</v>
      </c>
      <c r="M5">
        <f>K5*L5</f>
        <v>14.285714285714286</v>
      </c>
    </row>
    <row r="6" spans="1:13" ht="15" customHeight="1" x14ac:dyDescent="0.35">
      <c r="A6" s="3" t="s">
        <v>177</v>
      </c>
      <c r="B6" s="14">
        <v>1.4999999999999999E-2</v>
      </c>
      <c r="J6" s="79">
        <f>SUM(J4:J5)</f>
        <v>3500</v>
      </c>
      <c r="K6" s="78"/>
      <c r="M6">
        <f>SUM(M4:M5)</f>
        <v>17.142857142857142</v>
      </c>
    </row>
    <row r="7" spans="1:13" ht="15" customHeight="1" x14ac:dyDescent="0.35">
      <c r="A7" s="3" t="s">
        <v>130</v>
      </c>
      <c r="B7" s="29">
        <v>2</v>
      </c>
    </row>
    <row r="8" spans="1:13" ht="15" customHeight="1" x14ac:dyDescent="0.35">
      <c r="A8" s="3" t="s">
        <v>131</v>
      </c>
      <c r="B8" s="29">
        <v>2</v>
      </c>
    </row>
    <row r="10" spans="1:13" ht="15" customHeight="1" x14ac:dyDescent="0.35">
      <c r="A10" s="66" t="s">
        <v>178</v>
      </c>
      <c r="B10" s="67"/>
      <c r="C10" s="67"/>
      <c r="D10" s="67"/>
      <c r="E10" s="67"/>
      <c r="F10" s="67"/>
      <c r="G10" s="67"/>
      <c r="H10" s="67"/>
    </row>
    <row r="11" spans="1:13" ht="15" customHeight="1" x14ac:dyDescent="0.35">
      <c r="A11" s="21" t="s">
        <v>121</v>
      </c>
      <c r="B11" s="21" t="s">
        <v>138</v>
      </c>
      <c r="C11" s="21" t="s">
        <v>141</v>
      </c>
      <c r="D11" s="21" t="s">
        <v>142</v>
      </c>
      <c r="E11" s="21" t="s">
        <v>179</v>
      </c>
      <c r="F11" s="21" t="s">
        <v>180</v>
      </c>
    </row>
    <row r="12" spans="1:13" ht="15" customHeight="1" x14ac:dyDescent="0.35">
      <c r="A12" s="5">
        <f>1</f>
        <v>1</v>
      </c>
      <c r="B12" s="35">
        <f t="shared" ref="B12:B21" si="0">A12/$B$8</f>
        <v>0.5</v>
      </c>
      <c r="C12" s="32">
        <f t="shared" ref="C12:C21" si="1">IF(A12&gt;$B$7*$B$8,0,IF(A12=$B$7*$B$8,$B$4*(1+$B$5/$B$8),$B$4*$B$5/$B$8))</f>
        <v>0</v>
      </c>
      <c r="D12" s="32">
        <f t="shared" ref="D12:D21" si="2">C12/(1+$B$6/$B$8)^A12</f>
        <v>0</v>
      </c>
      <c r="E12" s="20">
        <f t="shared" ref="E12:E21" si="3">IF($B$23=0,0,D12/$B$23)</f>
        <v>0</v>
      </c>
      <c r="F12" s="42">
        <f t="shared" ref="F12:F21" si="4">E12*A12</f>
        <v>0</v>
      </c>
    </row>
    <row r="13" spans="1:13" ht="15" customHeight="1" x14ac:dyDescent="0.35">
      <c r="A13" s="5">
        <f>2</f>
        <v>2</v>
      </c>
      <c r="B13" s="35">
        <f t="shared" si="0"/>
        <v>1</v>
      </c>
      <c r="C13" s="32">
        <f t="shared" si="1"/>
        <v>0</v>
      </c>
      <c r="D13" s="32">
        <f t="shared" si="2"/>
        <v>0</v>
      </c>
      <c r="E13" s="20">
        <f t="shared" si="3"/>
        <v>0</v>
      </c>
      <c r="F13" s="42">
        <f t="shared" si="4"/>
        <v>0</v>
      </c>
    </row>
    <row r="14" spans="1:13" ht="15" customHeight="1" x14ac:dyDescent="0.35">
      <c r="A14" s="5">
        <f>3</f>
        <v>3</v>
      </c>
      <c r="B14" s="35">
        <f t="shared" si="0"/>
        <v>1.5</v>
      </c>
      <c r="C14" s="32">
        <f t="shared" si="1"/>
        <v>0</v>
      </c>
      <c r="D14" s="32">
        <f t="shared" si="2"/>
        <v>0</v>
      </c>
      <c r="E14" s="20">
        <f t="shared" si="3"/>
        <v>0</v>
      </c>
      <c r="F14" s="42">
        <f t="shared" si="4"/>
        <v>0</v>
      </c>
    </row>
    <row r="15" spans="1:13" ht="15" customHeight="1" x14ac:dyDescent="0.35">
      <c r="A15" s="5">
        <f>4</f>
        <v>4</v>
      </c>
      <c r="B15" s="35">
        <f t="shared" si="0"/>
        <v>2</v>
      </c>
      <c r="C15" s="32">
        <f t="shared" si="1"/>
        <v>100</v>
      </c>
      <c r="D15" s="32">
        <f t="shared" si="2"/>
        <v>97.055417192807255</v>
      </c>
      <c r="E15" s="20">
        <f t="shared" si="3"/>
        <v>1</v>
      </c>
      <c r="F15" s="42">
        <f t="shared" si="4"/>
        <v>4</v>
      </c>
    </row>
    <row r="16" spans="1:13" ht="15" customHeight="1" x14ac:dyDescent="0.35">
      <c r="A16" s="5">
        <f>5</f>
        <v>5</v>
      </c>
      <c r="B16" s="35">
        <f t="shared" si="0"/>
        <v>2.5</v>
      </c>
      <c r="C16" s="32">
        <f t="shared" si="1"/>
        <v>0</v>
      </c>
      <c r="D16" s="32">
        <f t="shared" si="2"/>
        <v>0</v>
      </c>
      <c r="E16" s="20">
        <f t="shared" si="3"/>
        <v>0</v>
      </c>
      <c r="F16" s="42">
        <f t="shared" si="4"/>
        <v>0</v>
      </c>
    </row>
    <row r="17" spans="1:8" ht="15" customHeight="1" x14ac:dyDescent="0.35">
      <c r="A17" s="5">
        <f>6</f>
        <v>6</v>
      </c>
      <c r="B17" s="35">
        <f t="shared" si="0"/>
        <v>3</v>
      </c>
      <c r="C17" s="32">
        <f t="shared" si="1"/>
        <v>0</v>
      </c>
      <c r="D17" s="32">
        <f t="shared" si="2"/>
        <v>0</v>
      </c>
      <c r="E17" s="20">
        <f t="shared" si="3"/>
        <v>0</v>
      </c>
      <c r="F17" s="42">
        <f t="shared" si="4"/>
        <v>0</v>
      </c>
    </row>
    <row r="18" spans="1:8" ht="15" customHeight="1" x14ac:dyDescent="0.35">
      <c r="A18" s="5">
        <f>7</f>
        <v>7</v>
      </c>
      <c r="B18" s="35">
        <f t="shared" si="0"/>
        <v>3.5</v>
      </c>
      <c r="C18" s="32">
        <f t="shared" si="1"/>
        <v>0</v>
      </c>
      <c r="D18" s="32">
        <f t="shared" si="2"/>
        <v>0</v>
      </c>
      <c r="E18" s="20">
        <f t="shared" si="3"/>
        <v>0</v>
      </c>
      <c r="F18" s="42">
        <f t="shared" si="4"/>
        <v>0</v>
      </c>
    </row>
    <row r="19" spans="1:8" ht="15" customHeight="1" x14ac:dyDescent="0.35">
      <c r="A19" s="5">
        <f>8</f>
        <v>8</v>
      </c>
      <c r="B19" s="35">
        <f t="shared" si="0"/>
        <v>4</v>
      </c>
      <c r="C19" s="32">
        <f t="shared" si="1"/>
        <v>0</v>
      </c>
      <c r="D19" s="32">
        <f t="shared" si="2"/>
        <v>0</v>
      </c>
      <c r="E19" s="20">
        <f t="shared" si="3"/>
        <v>0</v>
      </c>
      <c r="F19" s="42">
        <f t="shared" si="4"/>
        <v>0</v>
      </c>
    </row>
    <row r="20" spans="1:8" ht="15" customHeight="1" x14ac:dyDescent="0.35">
      <c r="A20" s="5">
        <f>9</f>
        <v>9</v>
      </c>
      <c r="B20" s="35">
        <f t="shared" si="0"/>
        <v>4.5</v>
      </c>
      <c r="C20" s="32">
        <f t="shared" si="1"/>
        <v>0</v>
      </c>
      <c r="D20" s="32">
        <f t="shared" si="2"/>
        <v>0</v>
      </c>
      <c r="E20" s="20">
        <f t="shared" si="3"/>
        <v>0</v>
      </c>
      <c r="F20" s="42">
        <f t="shared" si="4"/>
        <v>0</v>
      </c>
    </row>
    <row r="21" spans="1:8" ht="15" customHeight="1" x14ac:dyDescent="0.35">
      <c r="A21" s="5">
        <f>10</f>
        <v>10</v>
      </c>
      <c r="B21" s="35">
        <f t="shared" si="0"/>
        <v>5</v>
      </c>
      <c r="C21" s="32">
        <f t="shared" si="1"/>
        <v>0</v>
      </c>
      <c r="D21" s="32">
        <f t="shared" si="2"/>
        <v>0</v>
      </c>
      <c r="E21" s="20">
        <f t="shared" si="3"/>
        <v>0</v>
      </c>
      <c r="F21" s="42">
        <f t="shared" si="4"/>
        <v>0</v>
      </c>
    </row>
    <row r="23" spans="1:8" ht="15" customHeight="1" x14ac:dyDescent="0.35">
      <c r="A23" s="3" t="s">
        <v>181</v>
      </c>
      <c r="B23" s="34">
        <f>SUM(D12:D21)</f>
        <v>97.055417192807255</v>
      </c>
    </row>
    <row r="24" spans="1:8" ht="15" customHeight="1" x14ac:dyDescent="0.35">
      <c r="A24" s="66" t="s">
        <v>133</v>
      </c>
      <c r="B24" s="67"/>
      <c r="C24" s="67"/>
      <c r="D24" s="67"/>
      <c r="E24" s="67"/>
      <c r="F24" s="67"/>
      <c r="G24" s="67"/>
      <c r="H24" s="67"/>
    </row>
    <row r="25" spans="1:8" ht="15" customHeight="1" x14ac:dyDescent="0.35">
      <c r="A25" s="3" t="s">
        <v>182</v>
      </c>
      <c r="B25" s="43">
        <f>SUM(F12:F21)</f>
        <v>4</v>
      </c>
    </row>
    <row r="26" spans="1:8" ht="15" customHeight="1" x14ac:dyDescent="0.35">
      <c r="A26" s="3" t="s">
        <v>183</v>
      </c>
      <c r="B26" s="43">
        <f>B25/$B$8</f>
        <v>2</v>
      </c>
    </row>
    <row r="27" spans="1:8" ht="15" customHeight="1" x14ac:dyDescent="0.35">
      <c r="A27" s="3" t="s">
        <v>184</v>
      </c>
      <c r="B27" s="43">
        <f>B26/(1+$B$6/$B$8)</f>
        <v>1.9851116625310172</v>
      </c>
      <c r="C27">
        <f>M6/(1+B6/$B$8)</f>
        <v>17.015242821694432</v>
      </c>
    </row>
    <row r="29" spans="1:8" ht="15" customHeight="1" x14ac:dyDescent="0.35">
      <c r="A29" s="66" t="s">
        <v>185</v>
      </c>
      <c r="B29" s="67"/>
      <c r="C29" s="67"/>
      <c r="D29" s="67"/>
      <c r="E29" s="67"/>
      <c r="F29" s="67"/>
      <c r="G29" s="67"/>
      <c r="H29" s="67"/>
    </row>
    <row r="30" spans="1:8" ht="15" customHeight="1" x14ac:dyDescent="0.35">
      <c r="A30" s="3" t="s">
        <v>186</v>
      </c>
      <c r="B30" s="44">
        <f>$B$6</f>
        <v>1.4999999999999999E-2</v>
      </c>
    </row>
    <row r="31" spans="1:8" ht="15" customHeight="1" x14ac:dyDescent="0.35">
      <c r="A31" s="3" t="s">
        <v>187</v>
      </c>
      <c r="B31" s="36">
        <v>0.02</v>
      </c>
    </row>
    <row r="32" spans="1:8" ht="15" customHeight="1" x14ac:dyDescent="0.35">
      <c r="A32" s="3" t="s">
        <v>188</v>
      </c>
      <c r="B32" s="44">
        <f>B31-B30</f>
        <v>5.000000000000001E-3</v>
      </c>
    </row>
    <row r="33" spans="1:2" ht="15" customHeight="1" x14ac:dyDescent="0.35">
      <c r="A33" s="3" t="s">
        <v>189</v>
      </c>
      <c r="B33" s="45">
        <f>-B27*B32</f>
        <v>-9.9255583126550886E-3</v>
      </c>
    </row>
    <row r="34" spans="1:2" ht="15" customHeight="1" x14ac:dyDescent="0.35">
      <c r="A34" s="3" t="s">
        <v>190</v>
      </c>
      <c r="B34" s="34">
        <f>3*(1+B33)</f>
        <v>2.9702233250620349</v>
      </c>
    </row>
    <row r="35" spans="1:2" ht="15" customHeight="1" x14ac:dyDescent="0.35">
      <c r="A35" s="3" t="s">
        <v>191</v>
      </c>
      <c r="B35" s="34">
        <f>IF($B$8=0,0,-PV($B$31/$B$8,$B$7*$B$8,$B$4*$B$5/$B$8,$B$4))</f>
        <v>96.098034448281624</v>
      </c>
    </row>
    <row r="36" spans="1:2" ht="15" customHeight="1" x14ac:dyDescent="0.35">
      <c r="A36" s="3" t="s">
        <v>192</v>
      </c>
      <c r="B36" s="45">
        <f>(B35-$B$23)/$B$23</f>
        <v>-9.8642896215027833E-3</v>
      </c>
    </row>
  </sheetData>
  <mergeCells count="5">
    <mergeCell ref="A1:J1"/>
    <mergeCell ref="A29:H29"/>
    <mergeCell ref="A24:H24"/>
    <mergeCell ref="A10:H10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5"/>
  <sheetViews>
    <sheetView showGridLines="0" zoomScaleNormal="100" workbookViewId="0"/>
  </sheetViews>
  <sheetFormatPr defaultColWidth="8.6328125" defaultRowHeight="14.5" x14ac:dyDescent="0.35"/>
  <cols>
    <col min="1" max="1" width="35" customWidth="1"/>
    <col min="2" max="2" width="14" customWidth="1"/>
    <col min="3" max="6" width="12" customWidth="1"/>
    <col min="7" max="7" width="25" customWidth="1"/>
  </cols>
  <sheetData>
    <row r="1" spans="1:6" ht="34.5" customHeight="1" x14ac:dyDescent="0.35">
      <c r="A1" s="72" t="s">
        <v>193</v>
      </c>
      <c r="B1" s="67"/>
      <c r="C1" s="67"/>
      <c r="D1" s="67"/>
      <c r="E1" s="67"/>
      <c r="F1" s="67"/>
    </row>
    <row r="3" spans="1:6" ht="15" customHeight="1" x14ac:dyDescent="0.35">
      <c r="A3" s="66" t="s">
        <v>194</v>
      </c>
      <c r="B3" s="67"/>
      <c r="C3" s="67"/>
      <c r="D3" s="67"/>
      <c r="E3" s="67"/>
      <c r="F3" s="67"/>
    </row>
    <row r="4" spans="1:6" ht="15" customHeight="1" x14ac:dyDescent="0.35">
      <c r="A4" s="3" t="s">
        <v>195</v>
      </c>
      <c r="B4" s="15">
        <v>74.83</v>
      </c>
    </row>
    <row r="5" spans="1:6" ht="15" customHeight="1" x14ac:dyDescent="0.35">
      <c r="A5" s="3" t="s">
        <v>196</v>
      </c>
      <c r="B5" s="14">
        <v>0.06</v>
      </c>
    </row>
    <row r="6" spans="1:6" ht="15" customHeight="1" x14ac:dyDescent="0.35">
      <c r="A6" s="3" t="s">
        <v>197</v>
      </c>
      <c r="B6" s="14">
        <v>0.08</v>
      </c>
    </row>
    <row r="7" spans="1:6" ht="15" customHeight="1" x14ac:dyDescent="0.35">
      <c r="A7" s="3" t="s">
        <v>198</v>
      </c>
      <c r="B7" s="17">
        <f>B4*(1+B5)</f>
        <v>79.319800000000001</v>
      </c>
    </row>
    <row r="8" spans="1:6" ht="15" customHeight="1" x14ac:dyDescent="0.35">
      <c r="A8" s="3" t="s">
        <v>199</v>
      </c>
      <c r="B8" s="17">
        <f>IF(B6-B5&lt;=0,"k must &gt; g",B7/(B6-B5))</f>
        <v>3965.9899999999993</v>
      </c>
    </row>
    <row r="10" spans="1:6" ht="15" customHeight="1" x14ac:dyDescent="0.35">
      <c r="A10" s="66" t="s">
        <v>200</v>
      </c>
      <c r="B10" s="67"/>
      <c r="C10" s="67"/>
      <c r="D10" s="67"/>
      <c r="E10" s="67"/>
      <c r="F10" s="67"/>
    </row>
    <row r="11" spans="1:6" ht="15" customHeight="1" x14ac:dyDescent="0.35">
      <c r="A11" s="3" t="s">
        <v>201</v>
      </c>
      <c r="B11" s="15">
        <v>6013</v>
      </c>
    </row>
    <row r="12" spans="1:6" ht="15" customHeight="1" x14ac:dyDescent="0.35">
      <c r="A12" s="3" t="s">
        <v>202</v>
      </c>
      <c r="B12" s="14">
        <v>0.08</v>
      </c>
    </row>
    <row r="13" spans="1:6" ht="15" customHeight="1" x14ac:dyDescent="0.35">
      <c r="A13" s="3" t="s">
        <v>203</v>
      </c>
      <c r="B13" s="15">
        <v>74.83</v>
      </c>
    </row>
    <row r="14" spans="1:6" ht="15" customHeight="1" x14ac:dyDescent="0.35">
      <c r="A14" s="3" t="s">
        <v>204</v>
      </c>
      <c r="B14" s="18">
        <f>B12-B13/B11</f>
        <v>6.7555296856810249E-2</v>
      </c>
      <c r="D14" s="25" t="s">
        <v>205</v>
      </c>
    </row>
    <row r="16" spans="1:6" ht="15" customHeight="1" x14ac:dyDescent="0.35">
      <c r="A16" s="66" t="s">
        <v>206</v>
      </c>
      <c r="B16" s="67"/>
      <c r="C16" s="67"/>
      <c r="D16" s="67"/>
      <c r="E16" s="67"/>
      <c r="F16" s="67"/>
    </row>
    <row r="17" spans="1:6" ht="15" customHeight="1" x14ac:dyDescent="0.35">
      <c r="A17" s="3" t="s">
        <v>201</v>
      </c>
      <c r="B17" s="15">
        <v>6013</v>
      </c>
    </row>
    <row r="18" spans="1:6" ht="15" customHeight="1" x14ac:dyDescent="0.35">
      <c r="A18" s="3" t="s">
        <v>207</v>
      </c>
      <c r="B18" s="14">
        <v>0.06</v>
      </c>
    </row>
    <row r="19" spans="1:6" ht="15" customHeight="1" x14ac:dyDescent="0.35">
      <c r="A19" s="3" t="s">
        <v>203</v>
      </c>
      <c r="B19" s="15">
        <v>74.83</v>
      </c>
    </row>
    <row r="20" spans="1:6" ht="15" customHeight="1" x14ac:dyDescent="0.35">
      <c r="A20" s="3" t="s">
        <v>208</v>
      </c>
      <c r="B20" s="18">
        <f>B19*(1+B18)/B17+B18</f>
        <v>7.3191385331781142E-2</v>
      </c>
    </row>
    <row r="22" spans="1:6" ht="15" customHeight="1" x14ac:dyDescent="0.35">
      <c r="A22" s="66" t="s">
        <v>209</v>
      </c>
      <c r="B22" s="67"/>
      <c r="C22" s="67"/>
      <c r="D22" s="67"/>
      <c r="E22" s="67"/>
      <c r="F22" s="67"/>
    </row>
    <row r="23" spans="1:6" ht="15" customHeight="1" x14ac:dyDescent="0.35">
      <c r="A23" s="3" t="s">
        <v>210</v>
      </c>
      <c r="B23" s="15">
        <v>74.83</v>
      </c>
    </row>
    <row r="24" spans="1:6" ht="15" customHeight="1" x14ac:dyDescent="0.35">
      <c r="A24" s="3" t="s">
        <v>211</v>
      </c>
      <c r="B24" s="14">
        <v>0.03</v>
      </c>
    </row>
    <row r="25" spans="1:6" ht="15" customHeight="1" x14ac:dyDescent="0.35">
      <c r="A25" s="3" t="s">
        <v>212</v>
      </c>
      <c r="B25" s="14">
        <v>5.0000000000000001E-3</v>
      </c>
    </row>
    <row r="26" spans="1:6" ht="15" customHeight="1" x14ac:dyDescent="0.35">
      <c r="A26" s="3" t="s">
        <v>213</v>
      </c>
      <c r="B26" s="14">
        <v>0.05</v>
      </c>
    </row>
    <row r="27" spans="1:6" ht="15" customHeight="1" x14ac:dyDescent="0.35">
      <c r="A27" s="3" t="s">
        <v>214</v>
      </c>
      <c r="B27" s="14">
        <v>5.0000000000000001E-3</v>
      </c>
    </row>
    <row r="29" spans="1:6" ht="15" customHeight="1" x14ac:dyDescent="0.35">
      <c r="A29" s="1" t="s">
        <v>215</v>
      </c>
      <c r="B29" s="1" t="s">
        <v>216</v>
      </c>
      <c r="C29" s="1" t="s">
        <v>217</v>
      </c>
      <c r="D29" s="1" t="s">
        <v>218</v>
      </c>
      <c r="E29" s="1" t="s">
        <v>219</v>
      </c>
      <c r="F29" s="1" t="s">
        <v>220</v>
      </c>
    </row>
    <row r="30" spans="1:6" ht="15" customHeight="1" x14ac:dyDescent="0.35">
      <c r="B30" s="46">
        <f>$B$24+0*$B$25</f>
        <v>0.03</v>
      </c>
      <c r="C30" s="46">
        <f>$B$24+1*$B$25</f>
        <v>3.4999999999999996E-2</v>
      </c>
      <c r="D30" s="46">
        <f>$B$24+2*$B$25</f>
        <v>0.04</v>
      </c>
      <c r="E30" s="46">
        <f>$B$24+3*$B$25</f>
        <v>4.4999999999999998E-2</v>
      </c>
      <c r="F30" s="46">
        <f>$B$24+4*$B$25</f>
        <v>0.05</v>
      </c>
    </row>
    <row r="31" spans="1:6" ht="15" customHeight="1" x14ac:dyDescent="0.35">
      <c r="A31" s="46">
        <f>$B$26+0*$B$27</f>
        <v>0.05</v>
      </c>
      <c r="B31" s="47">
        <f>IF(B30+0*$B$25-($B$26+0*$B$27)&gt;=0,"k≤g",$B$23*(1+B30+0*$B$25)/(($B$26+0*$B$27)-(B30+0*$B$25)))</f>
        <v>3853.7449999999994</v>
      </c>
      <c r="C31" s="47">
        <f>IF(B30+1*$B$25-($B$26+0*$B$27)&gt;=0,"k≤g",$B$23*(1+B30+1*$B$25)/(($B$26+0*$B$27)-(B30+1*$B$25)))</f>
        <v>5163.2699999999968</v>
      </c>
      <c r="D31" s="47">
        <f>IF(B30+2*$B$25-($B$26+0*$B$27)&gt;=0,"k≤g",$B$23*(1+B30+2*$B$25)/(($B$26+0*$B$27)-(B30+2*$B$25)))</f>
        <v>7782.3199999999988</v>
      </c>
      <c r="E31" s="47">
        <f>IF(B30+3*$B$25-($B$26+0*$B$27)&gt;=0,"k≤g",$B$23*(1+B30+3*$B$25)/(($B$26+0*$B$27)-(B30+3*$B$25)))</f>
        <v>15639.469999999983</v>
      </c>
      <c r="F31" s="47" t="str">
        <f>IF(B30+4*$B$25-($B$26+0*$B$27)&gt;=0,"k≤g",$B$23*(1+B30+4*$B$25)/(($B$26+0*$B$27)-(B30+4*$B$25)))</f>
        <v>k≤g</v>
      </c>
    </row>
    <row r="32" spans="1:6" ht="15" customHeight="1" x14ac:dyDescent="0.35">
      <c r="A32" s="46">
        <f>$B$26+1*$B$27</f>
        <v>5.5E-2</v>
      </c>
      <c r="B32" s="47">
        <f>IF(B30+0*$B$25-($B$26+1*$B$27)&gt;=0,"k≤g",$B$23*(1+B30+0*$B$25)/(($B$26+1*$B$27)-(B30+0*$B$25)))</f>
        <v>3082.9959999999996</v>
      </c>
      <c r="C32" s="47">
        <f>IF(B30+1*$B$25-($B$26+1*$B$27)&gt;=0,"k≤g",$B$23*(1+B30+1*$B$25)/(($B$26+1*$B$27)-(B30+1*$B$25)))</f>
        <v>3872.4524999999985</v>
      </c>
      <c r="D32" s="47">
        <f>IF(B30+2*$B$25-($B$26+1*$B$27)&gt;=0,"k≤g",$B$23*(1+B30+2*$B$25)/(($B$26+1*$B$27)-(B30+2*$B$25)))</f>
        <v>5188.2133333333331</v>
      </c>
      <c r="E32" s="47">
        <f>IF(B30+3*$B$25-($B$26+1*$B$27)&gt;=0,"k≤g",$B$23*(1+B30+3*$B$25)/(($B$26+1*$B$27)-(B30+3*$B$25)))</f>
        <v>7819.7349999999969</v>
      </c>
      <c r="F32" s="47">
        <f>IF(B30+4*$B$25-($B$26+1*$B$27)&gt;=0,"k≤g",$B$23*(1+B30+4*$B$25)/(($B$26+1*$B$27)-(B30+4*$B$25)))</f>
        <v>15714.300000000008</v>
      </c>
    </row>
    <row r="33" spans="1:6" ht="15" customHeight="1" x14ac:dyDescent="0.35">
      <c r="A33" s="46">
        <f>$B$26+2*$B$27</f>
        <v>6.0000000000000005E-2</v>
      </c>
      <c r="B33" s="47">
        <f>IF(B30+0*$B$25-($B$26+2*$B$27)&gt;=0,"k≤g",$B$23*(1+B30+0*$B$25)/(($B$26+2*$B$27)-(B30+0*$B$25)))</f>
        <v>2569.163333333333</v>
      </c>
      <c r="C33" s="47">
        <f>IF(B30+1*$B$25-($B$26+2*$B$27)&gt;=0,"k≤g",$B$23*(1+B30+1*$B$25)/(($B$26+2*$B$27)-(B30+1*$B$25)))</f>
        <v>3097.9619999999982</v>
      </c>
      <c r="D33" s="47">
        <f>IF(B30+2*$B$25-($B$26+2*$B$27)&gt;=0,"k≤g",$B$23*(1+B30+2*$B$25)/(($B$26+2*$B$27)-(B30+2*$B$25)))</f>
        <v>3891.1599999999994</v>
      </c>
      <c r="E33" s="47">
        <f>IF(B30+3*$B$25-($B$26+2*$B$27)&gt;=0,"k≤g",$B$23*(1+B30+3*$B$25)/(($B$26+2*$B$27)-(B30+3*$B$25)))</f>
        <v>5213.1566666666631</v>
      </c>
      <c r="F33" s="47">
        <f>IF(B30+4*$B$25-($B$26+2*$B$27)&gt;=0,"k≤g",$B$23*(1+B30+4*$B$25)/(($B$26+2*$B$27)-(B30+4*$B$25)))</f>
        <v>7857.1499999999987</v>
      </c>
    </row>
    <row r="34" spans="1:6" ht="15" customHeight="1" x14ac:dyDescent="0.35">
      <c r="A34" s="46">
        <f>$B$26+3*$B$27</f>
        <v>6.5000000000000002E-2</v>
      </c>
      <c r="B34" s="47">
        <f>IF(B30+0*$B$25-($B$26+3*$B$27)&gt;=0,"k≤g",$B$23*(1+B30+0*$B$25)/(($B$26+3*$B$27)-(B30+0*$B$25)))</f>
        <v>2202.14</v>
      </c>
      <c r="C34" s="47">
        <f>IF(B30+1*$B$25-($B$26+3*$B$27)&gt;=0,"k≤g",$B$23*(1+B30+1*$B$25)/(($B$26+3*$B$27)-(B30+1*$B$25)))</f>
        <v>2581.6349999999989</v>
      </c>
      <c r="D34" s="47">
        <f>IF(B30+2*$B$25-($B$26+3*$B$27)&gt;=0,"k≤g",$B$23*(1+B30+2*$B$25)/(($B$26+3*$B$27)-(B30+2*$B$25)))</f>
        <v>3112.9279999999999</v>
      </c>
      <c r="E34" s="47">
        <f>IF(B30+3*$B$25-($B$26+3*$B$27)&gt;=0,"k≤g",$B$23*(1+B30+3*$B$25)/(($B$26+3*$B$27)-(B30+3*$B$25)))</f>
        <v>3909.8674999999985</v>
      </c>
      <c r="F34" s="47">
        <f>IF(B30+4*$B$25-($B$26+3*$B$27)&gt;=0,"k≤g",$B$23*(1+B30+4*$B$25)/(($B$26+3*$B$27)-(B30+4*$B$25)))</f>
        <v>5238.1000000000004</v>
      </c>
    </row>
    <row r="35" spans="1:6" ht="15" customHeight="1" x14ac:dyDescent="0.35">
      <c r="A35" s="46">
        <f>$B$26+4*$B$27</f>
        <v>7.0000000000000007E-2</v>
      </c>
      <c r="B35" s="47">
        <f>IF(B30+0*$B$25-($B$26+4*$B$27)&gt;=0,"k≤g",$B$23*(1+B30+0*$B$25)/(($B$26+4*$B$27)-(B30+0*$B$25)))</f>
        <v>1926.8724999999997</v>
      </c>
      <c r="C35" s="47">
        <f>IF(B30+1*$B$25-($B$26+4*$B$27)&gt;=0,"k≤g",$B$23*(1+B30+1*$B$25)/(($B$26+4*$B$27)-(B30+1*$B$25)))</f>
        <v>2212.829999999999</v>
      </c>
      <c r="D35" s="47">
        <f>IF(B30+2*$B$25-($B$26+4*$B$27)&gt;=0,"k≤g",$B$23*(1+B30+2*$B$25)/(($B$26+4*$B$27)-(B30+2*$B$25)))</f>
        <v>2594.1066666666661</v>
      </c>
      <c r="E35" s="47">
        <f>IF(B30+3*$B$25-($B$26+4*$B$27)&gt;=0,"k≤g",$B$23*(1+B30+3*$B$25)/(($B$26+4*$B$27)-(B30+3*$B$25)))</f>
        <v>3127.8939999999984</v>
      </c>
      <c r="F35" s="47">
        <f>IF(B30+4*$B$25-($B$26+4*$B$27)&gt;=0,"k≤g",$B$23*(1+B30+4*$B$25)/(($B$26+4*$B$27)-(B30+4*$B$25)))</f>
        <v>3928.5749999999994</v>
      </c>
    </row>
    <row r="37" spans="1:6" ht="15" customHeight="1" x14ac:dyDescent="0.35">
      <c r="A37" s="66" t="s">
        <v>221</v>
      </c>
      <c r="B37" s="67"/>
      <c r="C37" s="67"/>
      <c r="D37" s="67"/>
      <c r="E37" s="67"/>
      <c r="F37" s="67"/>
    </row>
    <row r="38" spans="1:6" ht="15" customHeight="1" x14ac:dyDescent="0.35">
      <c r="A38" s="69" t="s">
        <v>222</v>
      </c>
      <c r="B38" s="67"/>
      <c r="C38" s="67"/>
      <c r="D38" s="67"/>
      <c r="E38" s="67"/>
      <c r="F38" s="67"/>
    </row>
    <row r="39" spans="1:6" ht="15" customHeight="1" x14ac:dyDescent="0.35">
      <c r="A39" s="3" t="s">
        <v>203</v>
      </c>
      <c r="B39" s="15">
        <v>74.83</v>
      </c>
    </row>
    <row r="40" spans="1:6" ht="15" customHeight="1" x14ac:dyDescent="0.35">
      <c r="A40" s="3" t="s">
        <v>202</v>
      </c>
      <c r="B40" s="14">
        <v>0.08</v>
      </c>
    </row>
    <row r="41" spans="1:6" ht="15" customHeight="1" x14ac:dyDescent="0.35">
      <c r="A41" s="3" t="s">
        <v>223</v>
      </c>
      <c r="B41" s="15">
        <v>6013</v>
      </c>
    </row>
    <row r="42" spans="1:6" ht="15" customHeight="1" x14ac:dyDescent="0.35">
      <c r="A42" s="3" t="s">
        <v>224</v>
      </c>
      <c r="B42" s="48">
        <v>0.06</v>
      </c>
    </row>
    <row r="43" spans="1:6" ht="15" customHeight="1" x14ac:dyDescent="0.35">
      <c r="A43" s="3" t="s">
        <v>225</v>
      </c>
      <c r="B43" s="17">
        <f>IF(B40-B42&lt;=0,"k must &gt; g",B39*(1+B42)/(B40-B42))</f>
        <v>3965.9899999999993</v>
      </c>
    </row>
    <row r="44" spans="1:6" ht="15" customHeight="1" x14ac:dyDescent="0.35">
      <c r="A44" s="3" t="s">
        <v>226</v>
      </c>
      <c r="B44" s="16">
        <f>B43-B41</f>
        <v>-2047.0100000000007</v>
      </c>
    </row>
    <row r="45" spans="1:6" ht="15" customHeight="1" x14ac:dyDescent="0.35">
      <c r="A45" s="12" t="s">
        <v>227</v>
      </c>
    </row>
  </sheetData>
  <mergeCells count="7">
    <mergeCell ref="A38:F38"/>
    <mergeCell ref="A16:F16"/>
    <mergeCell ref="A10:F10"/>
    <mergeCell ref="A1:F1"/>
    <mergeCell ref="A37:F37"/>
    <mergeCell ref="A22:F2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2"/>
  <sheetViews>
    <sheetView showGridLines="0" zoomScaleNormal="100" workbookViewId="0"/>
  </sheetViews>
  <sheetFormatPr defaultColWidth="8.6328125" defaultRowHeight="14.5" x14ac:dyDescent="0.35"/>
  <cols>
    <col min="1" max="1" width="38" customWidth="1"/>
    <col min="2" max="8" width="14" customWidth="1"/>
  </cols>
  <sheetData>
    <row r="1" spans="1:8" ht="34.5" customHeight="1" x14ac:dyDescent="0.35">
      <c r="A1" s="72" t="s">
        <v>228</v>
      </c>
      <c r="B1" s="67"/>
      <c r="C1" s="67"/>
      <c r="D1" s="67"/>
      <c r="E1" s="67"/>
      <c r="F1" s="67"/>
      <c r="G1" s="67"/>
      <c r="H1" s="67"/>
    </row>
    <row r="3" spans="1:8" ht="15" customHeight="1" x14ac:dyDescent="0.35">
      <c r="A3" s="66" t="s">
        <v>229</v>
      </c>
      <c r="B3" s="67"/>
      <c r="C3" s="67"/>
      <c r="D3" s="67"/>
      <c r="E3" s="67"/>
      <c r="F3" s="67"/>
      <c r="G3" s="67"/>
      <c r="H3" s="67"/>
    </row>
    <row r="4" spans="1:8" ht="15" customHeight="1" x14ac:dyDescent="0.35">
      <c r="A4" s="21"/>
      <c r="B4" s="21" t="s">
        <v>230</v>
      </c>
      <c r="C4" s="21" t="s">
        <v>231</v>
      </c>
    </row>
    <row r="5" spans="1:8" ht="15" customHeight="1" x14ac:dyDescent="0.35">
      <c r="A5" s="3" t="s">
        <v>232</v>
      </c>
      <c r="B5" s="14">
        <v>0.1</v>
      </c>
      <c r="C5" s="14">
        <v>0.12</v>
      </c>
    </row>
    <row r="6" spans="1:8" ht="15" customHeight="1" x14ac:dyDescent="0.35">
      <c r="A6" s="3" t="s">
        <v>233</v>
      </c>
      <c r="B6" s="14">
        <v>0.12</v>
      </c>
      <c r="C6" s="14">
        <v>0.15</v>
      </c>
    </row>
    <row r="7" spans="1:8" ht="15" customHeight="1" x14ac:dyDescent="0.35">
      <c r="A7" s="3" t="s">
        <v>234</v>
      </c>
      <c r="B7" s="14">
        <v>0.45</v>
      </c>
      <c r="C7" s="14">
        <v>0.55000000000000004</v>
      </c>
    </row>
    <row r="8" spans="1:8" ht="15" customHeight="1" x14ac:dyDescent="0.35">
      <c r="A8" s="3" t="s">
        <v>235</v>
      </c>
      <c r="B8" s="49">
        <v>0.6</v>
      </c>
    </row>
    <row r="9" spans="1:8" ht="15" customHeight="1" x14ac:dyDescent="0.35">
      <c r="A9" s="3" t="s">
        <v>236</v>
      </c>
      <c r="B9" s="37">
        <f>B8*C5*C6</f>
        <v>1.0799999999999999E-2</v>
      </c>
    </row>
    <row r="11" spans="1:8" ht="15" customHeight="1" x14ac:dyDescent="0.35">
      <c r="A11" s="66" t="s">
        <v>237</v>
      </c>
      <c r="B11" s="67"/>
      <c r="C11" s="67"/>
      <c r="D11" s="67"/>
      <c r="E11" s="67"/>
      <c r="F11" s="67"/>
      <c r="G11" s="67"/>
      <c r="H11" s="67"/>
    </row>
    <row r="12" spans="1:8" ht="15" customHeight="1" x14ac:dyDescent="0.35">
      <c r="A12" s="3" t="s">
        <v>238</v>
      </c>
      <c r="B12" s="18">
        <f>B7*B5+C7*C5</f>
        <v>0.11100000000000002</v>
      </c>
    </row>
    <row r="13" spans="1:8" ht="15" customHeight="1" x14ac:dyDescent="0.35">
      <c r="A13" s="3" t="s">
        <v>239</v>
      </c>
      <c r="B13" s="50">
        <f>B7^2*B6^2+C7^2*C6^2+2*B7*C7*B9</f>
        <v>1.5068250000000002E-2</v>
      </c>
    </row>
    <row r="14" spans="1:8" ht="15" customHeight="1" x14ac:dyDescent="0.35">
      <c r="A14" s="3" t="s">
        <v>240</v>
      </c>
      <c r="B14" s="18">
        <f>SQRT(B13)</f>
        <v>0.12275280037538859</v>
      </c>
    </row>
    <row r="15" spans="1:8" ht="15" customHeight="1" x14ac:dyDescent="0.35">
      <c r="A15" s="3" t="s">
        <v>241</v>
      </c>
      <c r="B15" s="14">
        <v>1E-4</v>
      </c>
    </row>
    <row r="16" spans="1:8" ht="15" customHeight="1" x14ac:dyDescent="0.35">
      <c r="A16" s="3" t="s">
        <v>242</v>
      </c>
      <c r="B16" s="43">
        <f>IF(B14=0,"N/A",(B12-B15)/B14)</f>
        <v>0.90344171099036685</v>
      </c>
    </row>
    <row r="18" spans="1:8" ht="15" customHeight="1" x14ac:dyDescent="0.35">
      <c r="A18" s="66" t="s">
        <v>243</v>
      </c>
      <c r="B18" s="67"/>
      <c r="C18" s="67"/>
      <c r="D18" s="67"/>
      <c r="E18" s="67"/>
      <c r="F18" s="67"/>
      <c r="G18" s="67"/>
      <c r="H18" s="67"/>
    </row>
    <row r="19" spans="1:8" ht="15" customHeight="1" x14ac:dyDescent="0.35">
      <c r="A19" s="21"/>
      <c r="B19" s="21" t="s">
        <v>230</v>
      </c>
      <c r="C19" s="21" t="s">
        <v>231</v>
      </c>
      <c r="D19" s="21" t="s">
        <v>244</v>
      </c>
    </row>
    <row r="20" spans="1:8" ht="15" customHeight="1" x14ac:dyDescent="0.35">
      <c r="A20" s="3" t="s">
        <v>245</v>
      </c>
      <c r="B20" s="14">
        <v>5.2299999999999999E-2</v>
      </c>
      <c r="C20" s="14">
        <v>6.2600000000000003E-2</v>
      </c>
      <c r="D20" s="14">
        <v>6.1899999999999997E-2</v>
      </c>
    </row>
    <row r="21" spans="1:8" ht="15" customHeight="1" x14ac:dyDescent="0.35">
      <c r="A21" s="3" t="s">
        <v>233</v>
      </c>
      <c r="B21" s="14">
        <v>0.1777</v>
      </c>
      <c r="C21" s="14">
        <v>0.21160000000000001</v>
      </c>
      <c r="D21" s="14">
        <v>0.2878</v>
      </c>
    </row>
    <row r="22" spans="1:8" ht="15" customHeight="1" x14ac:dyDescent="0.35">
      <c r="A22" s="3" t="s">
        <v>234</v>
      </c>
      <c r="B22" s="14">
        <v>0.33</v>
      </c>
      <c r="C22" s="14">
        <v>0.34</v>
      </c>
      <c r="D22" s="14">
        <v>0.33</v>
      </c>
    </row>
    <row r="23" spans="1:8" ht="15" customHeight="1" x14ac:dyDescent="0.35">
      <c r="A23" s="3" t="s">
        <v>246</v>
      </c>
      <c r="B23" s="51">
        <v>0.754</v>
      </c>
    </row>
    <row r="24" spans="1:8" ht="15" customHeight="1" x14ac:dyDescent="0.35">
      <c r="A24" s="3" t="s">
        <v>247</v>
      </c>
      <c r="B24" s="51">
        <v>0.46</v>
      </c>
    </row>
    <row r="25" spans="1:8" ht="15" customHeight="1" x14ac:dyDescent="0.35">
      <c r="A25" s="3" t="s">
        <v>248</v>
      </c>
      <c r="B25" s="51">
        <v>0.57899999999999996</v>
      </c>
    </row>
    <row r="27" spans="1:8" ht="15" customHeight="1" x14ac:dyDescent="0.35">
      <c r="A27" s="66" t="s">
        <v>249</v>
      </c>
      <c r="B27" s="67"/>
      <c r="C27" s="67"/>
      <c r="D27" s="67"/>
      <c r="E27" s="67"/>
      <c r="F27" s="67"/>
      <c r="G27" s="67"/>
      <c r="H27" s="67"/>
    </row>
    <row r="28" spans="1:8" ht="15" customHeight="1" x14ac:dyDescent="0.35">
      <c r="A28" s="3" t="s">
        <v>250</v>
      </c>
      <c r="B28" s="18">
        <f>B22*B20+C22*C20+D22*D20</f>
        <v>5.8970000000000002E-2</v>
      </c>
    </row>
    <row r="29" spans="1:8" ht="15" customHeight="1" x14ac:dyDescent="0.35">
      <c r="A29" s="3" t="s">
        <v>251</v>
      </c>
      <c r="B29" s="37">
        <f>B23*B21*C21</f>
        <v>2.835139528E-2</v>
      </c>
    </row>
    <row r="30" spans="1:8" ht="15" customHeight="1" x14ac:dyDescent="0.35">
      <c r="A30" s="3" t="s">
        <v>252</v>
      </c>
      <c r="B30" s="37">
        <f>B24*B21*D21</f>
        <v>2.35253476E-2</v>
      </c>
    </row>
    <row r="31" spans="1:8" ht="15" customHeight="1" x14ac:dyDescent="0.35">
      <c r="A31" s="3" t="s">
        <v>253</v>
      </c>
      <c r="B31" s="37">
        <f>B25*C21*D21</f>
        <v>3.5260219920000002E-2</v>
      </c>
    </row>
    <row r="32" spans="1:8" ht="15" customHeight="1" x14ac:dyDescent="0.35">
      <c r="A32" s="3" t="s">
        <v>239</v>
      </c>
      <c r="B32" s="50">
        <f>B22^2*B21^2+C22^2*C21^2+D22^2*D21^2+2*B22*C22*B29+2*B22*D22*B30+2*C22*D22*B31</f>
        <v>3.7033033851160004E-2</v>
      </c>
    </row>
    <row r="33" spans="1:8" ht="15" customHeight="1" x14ac:dyDescent="0.35">
      <c r="A33" s="3" t="s">
        <v>254</v>
      </c>
      <c r="B33" s="18">
        <f>SQRT(B32)</f>
        <v>0.19243968886682394</v>
      </c>
    </row>
    <row r="34" spans="1:8" ht="15" customHeight="1" x14ac:dyDescent="0.35">
      <c r="A34" s="3" t="s">
        <v>255</v>
      </c>
      <c r="B34" s="14">
        <v>1E-4</v>
      </c>
    </row>
    <row r="35" spans="1:8" ht="15" customHeight="1" x14ac:dyDescent="0.35">
      <c r="A35" s="3" t="s">
        <v>242</v>
      </c>
      <c r="B35" s="43">
        <f>IF(B33=0,"N/A",(B28-B34)/B33)</f>
        <v>0.30591402608606599</v>
      </c>
    </row>
    <row r="37" spans="1:8" ht="15" customHeight="1" x14ac:dyDescent="0.35">
      <c r="A37" s="66" t="s">
        <v>256</v>
      </c>
      <c r="B37" s="67"/>
      <c r="C37" s="67"/>
      <c r="D37" s="67"/>
      <c r="E37" s="67"/>
      <c r="F37" s="67"/>
      <c r="G37" s="67"/>
      <c r="H37" s="67"/>
    </row>
    <row r="38" spans="1:8" ht="15" customHeight="1" x14ac:dyDescent="0.35">
      <c r="A38" s="13"/>
      <c r="B38" s="13" t="s">
        <v>257</v>
      </c>
      <c r="C38" s="13" t="s">
        <v>258</v>
      </c>
    </row>
    <row r="39" spans="1:8" ht="15" customHeight="1" x14ac:dyDescent="0.35">
      <c r="A39" s="3" t="s">
        <v>245</v>
      </c>
      <c r="B39" s="14">
        <v>0.15</v>
      </c>
      <c r="C39" s="14">
        <v>0.05</v>
      </c>
    </row>
    <row r="40" spans="1:8" ht="15" customHeight="1" x14ac:dyDescent="0.35">
      <c r="A40" s="3" t="s">
        <v>259</v>
      </c>
      <c r="B40" s="14">
        <v>0.2</v>
      </c>
      <c r="C40" s="14">
        <v>0.08</v>
      </c>
    </row>
    <row r="41" spans="1:8" ht="15" customHeight="1" x14ac:dyDescent="0.35">
      <c r="A41" s="3" t="s">
        <v>235</v>
      </c>
      <c r="B41" s="49">
        <v>0.4</v>
      </c>
    </row>
    <row r="42" spans="1:8" ht="15" customHeight="1" x14ac:dyDescent="0.35">
      <c r="A42" s="3" t="s">
        <v>255</v>
      </c>
      <c r="B42" s="14">
        <v>0.02</v>
      </c>
    </row>
    <row r="43" spans="1:8" ht="15" customHeight="1" x14ac:dyDescent="0.35">
      <c r="A43" s="3" t="s">
        <v>260</v>
      </c>
      <c r="B43" s="57">
        <f>B41*B40*C40</f>
        <v>6.4000000000000012E-3</v>
      </c>
    </row>
    <row r="44" spans="1:8" ht="15" customHeight="1" x14ac:dyDescent="0.35">
      <c r="A44" s="73" t="s">
        <v>261</v>
      </c>
      <c r="B44" s="67"/>
      <c r="C44" s="67"/>
      <c r="D44" s="67"/>
      <c r="E44" s="67"/>
      <c r="F44" s="67"/>
      <c r="G44" s="67"/>
      <c r="H44" s="67"/>
    </row>
    <row r="45" spans="1:8" ht="15" customHeight="1" x14ac:dyDescent="0.35">
      <c r="A45" s="3" t="s">
        <v>262</v>
      </c>
      <c r="B45" s="58">
        <f>B39-B42</f>
        <v>0.13</v>
      </c>
    </row>
    <row r="46" spans="1:8" ht="15" customHeight="1" x14ac:dyDescent="0.35">
      <c r="A46" s="3" t="s">
        <v>263</v>
      </c>
      <c r="B46" s="58">
        <f>C39-B42</f>
        <v>3.0000000000000002E-2</v>
      </c>
    </row>
    <row r="47" spans="1:8" ht="15" customHeight="1" x14ac:dyDescent="0.35">
      <c r="A47" s="3" t="s">
        <v>264</v>
      </c>
      <c r="B47" s="56">
        <f>(B45*C40^2-B46*B43)/(B45*C40^2+B46*B40^2-(B45+B46)*B43)</f>
        <v>0.63492063492063477</v>
      </c>
    </row>
    <row r="48" spans="1:8" ht="15" customHeight="1" x14ac:dyDescent="0.35">
      <c r="A48" s="3" t="s">
        <v>265</v>
      </c>
      <c r="B48" s="56">
        <f>1-B47</f>
        <v>0.36507936507936523</v>
      </c>
    </row>
    <row r="49" spans="1:2" ht="15" customHeight="1" x14ac:dyDescent="0.35">
      <c r="A49" s="3" t="s">
        <v>266</v>
      </c>
      <c r="B49" s="56">
        <f>B47*B39+B48*C39</f>
        <v>0.11349206349206348</v>
      </c>
    </row>
    <row r="50" spans="1:2" ht="15" customHeight="1" x14ac:dyDescent="0.35">
      <c r="A50" s="3" t="s">
        <v>267</v>
      </c>
      <c r="B50" s="56">
        <f>SQRT(B47^2*B40^2+B48^2*C40^2+2*B47*B48*B43)</f>
        <v>0.14122667433942337</v>
      </c>
    </row>
    <row r="51" spans="1:2" ht="15" customHeight="1" x14ac:dyDescent="0.35">
      <c r="A51" s="3" t="s">
        <v>242</v>
      </c>
      <c r="B51" s="59">
        <f>(B49-B42)/B50</f>
        <v>0.66200003596604695</v>
      </c>
    </row>
    <row r="52" spans="1:2" ht="15" customHeight="1" x14ac:dyDescent="0.35">
      <c r="A52" s="12" t="s">
        <v>268</v>
      </c>
    </row>
  </sheetData>
  <mergeCells count="7">
    <mergeCell ref="A18:H18"/>
    <mergeCell ref="A3:H3"/>
    <mergeCell ref="A11:H11"/>
    <mergeCell ref="A44:H44"/>
    <mergeCell ref="A1:H1"/>
    <mergeCell ref="A37:H37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7"/>
  <sheetViews>
    <sheetView showGridLines="0" zoomScaleNormal="100" workbookViewId="0">
      <selection activeCell="B16" sqref="B16"/>
    </sheetView>
  </sheetViews>
  <sheetFormatPr defaultColWidth="8.6328125" defaultRowHeight="14.5" x14ac:dyDescent="0.35"/>
  <cols>
    <col min="1" max="1" width="36" customWidth="1"/>
    <col min="2" max="8" width="16" customWidth="1"/>
  </cols>
  <sheetData>
    <row r="1" spans="1:8" ht="34.5" customHeight="1" x14ac:dyDescent="0.35">
      <c r="A1" s="77" t="s">
        <v>269</v>
      </c>
      <c r="B1" s="67"/>
      <c r="C1" s="67"/>
      <c r="D1" s="67"/>
      <c r="E1" s="67"/>
      <c r="F1" s="67"/>
      <c r="G1" s="67"/>
      <c r="H1" s="67"/>
    </row>
    <row r="2" spans="1:8" ht="15" customHeight="1" x14ac:dyDescent="0.35">
      <c r="A2" s="76" t="s">
        <v>270</v>
      </c>
      <c r="B2" s="67"/>
      <c r="C2" s="67"/>
      <c r="D2" s="67"/>
      <c r="E2" s="67"/>
      <c r="F2" s="67"/>
      <c r="G2" s="67"/>
      <c r="H2" s="67"/>
    </row>
    <row r="4" spans="1:8" ht="15" customHeight="1" x14ac:dyDescent="0.35">
      <c r="A4" s="66" t="s">
        <v>271</v>
      </c>
      <c r="B4" s="67"/>
      <c r="C4" s="67"/>
      <c r="D4" s="67"/>
      <c r="E4" s="67"/>
      <c r="F4" s="67"/>
      <c r="G4" s="67"/>
      <c r="H4" s="67"/>
    </row>
    <row r="5" spans="1:8" ht="15" customHeight="1" x14ac:dyDescent="0.35">
      <c r="A5" s="13"/>
      <c r="B5" s="13" t="s">
        <v>39</v>
      </c>
    </row>
    <row r="6" spans="1:8" ht="15" customHeight="1" x14ac:dyDescent="0.35">
      <c r="A6" s="3" t="s">
        <v>272</v>
      </c>
      <c r="B6" s="15">
        <v>100</v>
      </c>
    </row>
    <row r="7" spans="1:8" ht="15" customHeight="1" x14ac:dyDescent="0.35">
      <c r="A7" s="3" t="s">
        <v>273</v>
      </c>
      <c r="B7" s="36">
        <v>2.8400000000000002E-2</v>
      </c>
    </row>
    <row r="8" spans="1:8" ht="15" customHeight="1" x14ac:dyDescent="0.35">
      <c r="A8" s="3" t="s">
        <v>130</v>
      </c>
      <c r="B8" s="31">
        <v>30</v>
      </c>
    </row>
    <row r="9" spans="1:8" ht="15" customHeight="1" x14ac:dyDescent="0.35">
      <c r="A9" s="3" t="s">
        <v>274</v>
      </c>
      <c r="B9" s="29">
        <v>2</v>
      </c>
    </row>
    <row r="10" spans="1:8" ht="15" customHeight="1" x14ac:dyDescent="0.35">
      <c r="A10" s="3" t="s">
        <v>275</v>
      </c>
      <c r="B10" s="33">
        <f>B8*B9</f>
        <v>60</v>
      </c>
    </row>
    <row r="11" spans="1:8" ht="15" customHeight="1" x14ac:dyDescent="0.35">
      <c r="A11" s="3" t="s">
        <v>276</v>
      </c>
      <c r="B11" s="37">
        <f>1/(1+B7/B9)^B10</f>
        <v>0.42912481310639766</v>
      </c>
    </row>
    <row r="12" spans="1:8" ht="15" customHeight="1" x14ac:dyDescent="0.35">
      <c r="A12" s="3" t="s">
        <v>277</v>
      </c>
      <c r="B12" s="34">
        <f>B6*B11</f>
        <v>42.91248131063977</v>
      </c>
    </row>
    <row r="13" spans="1:8" ht="15" customHeight="1" x14ac:dyDescent="0.35">
      <c r="A13" s="73" t="s">
        <v>278</v>
      </c>
      <c r="B13" s="67"/>
      <c r="C13" s="67"/>
      <c r="D13" s="67"/>
      <c r="E13" s="67"/>
      <c r="F13" s="67"/>
      <c r="G13" s="67"/>
      <c r="H13" s="67"/>
    </row>
    <row r="14" spans="1:8" ht="15" customHeight="1" x14ac:dyDescent="0.35">
      <c r="A14" s="3" t="s">
        <v>279</v>
      </c>
      <c r="B14" s="39">
        <v>65</v>
      </c>
    </row>
    <row r="15" spans="1:8" ht="15" customHeight="1" x14ac:dyDescent="0.35">
      <c r="A15" s="3" t="s">
        <v>280</v>
      </c>
      <c r="B15" s="15">
        <v>100</v>
      </c>
    </row>
    <row r="16" spans="1:8" ht="15" customHeight="1" x14ac:dyDescent="0.35">
      <c r="A16" s="3" t="s">
        <v>130</v>
      </c>
      <c r="B16" s="31">
        <v>10</v>
      </c>
    </row>
    <row r="17" spans="1:8" ht="15" customHeight="1" x14ac:dyDescent="0.35">
      <c r="A17" s="3" t="s">
        <v>274</v>
      </c>
      <c r="B17" s="29">
        <v>2</v>
      </c>
    </row>
    <row r="18" spans="1:8" ht="15" customHeight="1" x14ac:dyDescent="0.35">
      <c r="A18" s="3" t="s">
        <v>281</v>
      </c>
      <c r="B18" s="18">
        <f>B17*((B15/B14)^(1/(B16*B17))-1)</f>
        <v>4.3545575344856147E-2</v>
      </c>
    </row>
    <row r="19" spans="1:8" ht="15" customHeight="1" x14ac:dyDescent="0.35"/>
    <row r="20" spans="1:8" ht="15" customHeight="1" x14ac:dyDescent="0.35">
      <c r="A20" s="1" t="s">
        <v>282</v>
      </c>
    </row>
    <row r="21" spans="1:8" ht="15" customHeight="1" x14ac:dyDescent="0.35">
      <c r="A21" s="74" t="s">
        <v>283</v>
      </c>
      <c r="B21" s="67"/>
      <c r="C21" s="67"/>
      <c r="D21" s="67"/>
      <c r="E21" s="67"/>
      <c r="F21" s="67"/>
      <c r="G21" s="67"/>
      <c r="H21" s="67"/>
    </row>
    <row r="22" spans="1:8" ht="15" customHeight="1" x14ac:dyDescent="0.35">
      <c r="A22" s="3" t="s">
        <v>176</v>
      </c>
      <c r="B22" s="15">
        <v>100</v>
      </c>
    </row>
    <row r="23" spans="1:8" ht="15" customHeight="1" x14ac:dyDescent="0.35">
      <c r="A23" s="3" t="s">
        <v>130</v>
      </c>
      <c r="B23" s="31">
        <v>30</v>
      </c>
    </row>
    <row r="24" spans="1:8" ht="15" customHeight="1" x14ac:dyDescent="0.35">
      <c r="A24" s="3" t="s">
        <v>274</v>
      </c>
      <c r="B24" s="29">
        <v>2</v>
      </c>
    </row>
    <row r="25" spans="1:8" ht="15" customHeight="1" x14ac:dyDescent="0.35">
      <c r="A25" s="3" t="s">
        <v>284</v>
      </c>
      <c r="B25" s="18">
        <f>B18*((B16/B15)^(1/(B17*B18))-1)</f>
        <v>-4.3545575344712692E-2</v>
      </c>
    </row>
    <row r="26" spans="1:8" ht="15" customHeight="1" x14ac:dyDescent="0.35"/>
    <row r="27" spans="1:8" ht="15" customHeight="1" x14ac:dyDescent="0.35">
      <c r="A27" s="1" t="s">
        <v>285</v>
      </c>
    </row>
    <row r="28" spans="1:8" ht="15" customHeight="1" x14ac:dyDescent="0.35">
      <c r="A28" s="3" t="s">
        <v>286</v>
      </c>
      <c r="B28" s="15">
        <v>100</v>
      </c>
    </row>
    <row r="29" spans="1:8" ht="15" customHeight="1" x14ac:dyDescent="0.35">
      <c r="A29" s="3" t="s">
        <v>287</v>
      </c>
      <c r="B29" s="36">
        <v>0.02</v>
      </c>
    </row>
    <row r="30" spans="1:8" ht="15" customHeight="1" x14ac:dyDescent="0.35">
      <c r="A30" s="3" t="s">
        <v>288</v>
      </c>
      <c r="B30" s="36">
        <v>2.1000000000000001E-2</v>
      </c>
    </row>
    <row r="31" spans="1:8" ht="15" customHeight="1" x14ac:dyDescent="0.35">
      <c r="A31" s="3" t="s">
        <v>274</v>
      </c>
      <c r="B31" s="29">
        <v>2</v>
      </c>
    </row>
    <row r="32" spans="1:8" ht="15" customHeight="1" x14ac:dyDescent="0.35">
      <c r="B32" s="41" t="s">
        <v>289</v>
      </c>
      <c r="C32" s="41" t="s">
        <v>290</v>
      </c>
      <c r="D32" s="41" t="s">
        <v>291</v>
      </c>
      <c r="E32" s="41" t="s">
        <v>292</v>
      </c>
      <c r="F32" s="41" t="s">
        <v>293</v>
      </c>
      <c r="G32" s="41" t="s">
        <v>294</v>
      </c>
      <c r="H32" s="41" t="s">
        <v>295</v>
      </c>
    </row>
    <row r="33" spans="1:8" ht="15" customHeight="1" x14ac:dyDescent="0.35">
      <c r="A33" s="67"/>
      <c r="B33" s="67"/>
      <c r="C33" s="67"/>
      <c r="D33" s="67"/>
      <c r="E33" s="67"/>
      <c r="F33" s="67"/>
      <c r="G33" s="67"/>
      <c r="H33" s="67"/>
    </row>
    <row r="34" spans="1:8" ht="15" customHeight="1" x14ac:dyDescent="0.35">
      <c r="B34" s="33" t="s">
        <v>20</v>
      </c>
      <c r="C34" s="35">
        <f>B28</f>
        <v>100</v>
      </c>
      <c r="D34" s="40">
        <f>2/(1+3/5)^(B28*5)</f>
        <v>1.7419619632433496E-102</v>
      </c>
      <c r="E34" s="40">
        <f>2/(1+4/5)^(B28*5)</f>
        <v>4.621441330501859E-128</v>
      </c>
      <c r="F34" s="40">
        <f>E28-D28</f>
        <v>0</v>
      </c>
      <c r="G34" s="44" t="str">
        <f>IF(D28=0,"N/A",F28/D28)</f>
        <v>N/A</v>
      </c>
      <c r="H34" s="52">
        <f>IF(G28="N/A","N/A",G28/(4-3))</f>
        <v>0</v>
      </c>
    </row>
    <row r="35" spans="1:8" ht="15" customHeight="1" x14ac:dyDescent="0.35">
      <c r="B35" s="33" t="s">
        <v>296</v>
      </c>
      <c r="C35" s="35">
        <f>B29</f>
        <v>0.02</v>
      </c>
      <c r="D35" s="40">
        <f>2/(1+3/5)^(B29*5)</f>
        <v>1.9081741026573442</v>
      </c>
      <c r="E35" s="40">
        <f>2/(1+4/5)^(B29*5)</f>
        <v>1.8858308896952558</v>
      </c>
      <c r="F35" s="40">
        <f>E29-D29</f>
        <v>0</v>
      </c>
      <c r="G35" s="44" t="str">
        <f>IF(D29=0,"N/A",F29/D29)</f>
        <v>N/A</v>
      </c>
      <c r="H35" s="52">
        <f>IF(G29="N/A","N/A",G29/(4-3))</f>
        <v>0</v>
      </c>
    </row>
    <row r="36" spans="1:8" ht="15" customHeight="1" x14ac:dyDescent="0.35">
      <c r="B36" s="33" t="s">
        <v>297</v>
      </c>
      <c r="C36" s="35">
        <f>B30</f>
        <v>2.1000000000000001E-2</v>
      </c>
      <c r="D36" s="40">
        <f>2/(1+3/5)^(B30*5)</f>
        <v>1.9036951237920356</v>
      </c>
      <c r="E36" s="40">
        <f>2/(1+4/5)^(B30*5)</f>
        <v>1.880296694747505</v>
      </c>
      <c r="F36" s="40">
        <f>E30-D30</f>
        <v>0</v>
      </c>
      <c r="G36" s="44" t="str">
        <f>IF(D30=0,"N/A",F30/D30)</f>
        <v>N/A</v>
      </c>
      <c r="H36" s="52">
        <f>IF(G30="N/A","N/A",G30/(4-3))</f>
        <v>0</v>
      </c>
    </row>
    <row r="37" spans="1:8" ht="15" customHeight="1" x14ac:dyDescent="0.35">
      <c r="B37" s="33" t="s">
        <v>298</v>
      </c>
      <c r="C37" s="35">
        <f>B31</f>
        <v>2</v>
      </c>
      <c r="D37" s="40">
        <f>2/(1+3/5)^(B31*5)</f>
        <v>1.8189894035458544E-2</v>
      </c>
      <c r="E37" s="40">
        <f>2/(1+4/5)^(B31*5)</f>
        <v>5.6015077945164842E-3</v>
      </c>
      <c r="F37" s="40">
        <f>E31-D31</f>
        <v>0</v>
      </c>
      <c r="G37" s="44" t="str">
        <f>IF(D31=0,"N/A",F31/D31)</f>
        <v>N/A</v>
      </c>
      <c r="H37" s="52">
        <f>IF(G31="N/A","N/A",G31/(4-3))</f>
        <v>0</v>
      </c>
    </row>
    <row r="38" spans="1:8" ht="15" customHeight="1" x14ac:dyDescent="0.35"/>
    <row r="39" spans="1:8" ht="15" customHeight="1" x14ac:dyDescent="0.35">
      <c r="A39" s="1" t="s">
        <v>299</v>
      </c>
    </row>
    <row r="40" spans="1:8" ht="15" customHeight="1" x14ac:dyDescent="0.35">
      <c r="A40" s="3" t="s">
        <v>300</v>
      </c>
      <c r="B40" s="15">
        <v>100</v>
      </c>
    </row>
    <row r="41" spans="1:8" ht="15" customHeight="1" x14ac:dyDescent="0.35">
      <c r="A41" s="3" t="s">
        <v>129</v>
      </c>
      <c r="B41" s="36">
        <v>3.61E-2</v>
      </c>
    </row>
    <row r="42" spans="1:8" ht="15" customHeight="1" x14ac:dyDescent="0.35">
      <c r="A42" s="3" t="s">
        <v>274</v>
      </c>
      <c r="B42" s="29">
        <v>2</v>
      </c>
    </row>
    <row r="43" spans="1:8" ht="15" customHeight="1" x14ac:dyDescent="0.35">
      <c r="A43" s="41" t="s">
        <v>121</v>
      </c>
      <c r="B43" s="41" t="s">
        <v>138</v>
      </c>
      <c r="C43" s="41" t="s">
        <v>301</v>
      </c>
      <c r="D43" s="41" t="s">
        <v>302</v>
      </c>
      <c r="E43" s="41" t="s">
        <v>141</v>
      </c>
      <c r="F43" s="41" t="s">
        <v>142</v>
      </c>
    </row>
    <row r="44" spans="1:8" ht="15" customHeight="1" x14ac:dyDescent="0.35">
      <c r="A44" s="33" t="s">
        <v>8</v>
      </c>
      <c r="B44" s="60">
        <f t="shared" ref="B44:B53" si="0">A44/B$42</f>
        <v>0.5</v>
      </c>
      <c r="C44" s="36">
        <v>0.01</v>
      </c>
      <c r="D44" s="57">
        <f t="shared" ref="D44:D53" si="1">1/(1+C44/B$42)^A44</f>
        <v>0.99502487562189068</v>
      </c>
      <c r="E44" s="61">
        <f t="shared" ref="E44:E53" si="2">IF(A44=B$40*B$42,$B$40*(1+$B$41/$B$42),$B$40*$B$41/$B$42)</f>
        <v>1.8049999999999999</v>
      </c>
      <c r="F44" s="61">
        <f t="shared" ref="F44:F53" si="3">D44*E44</f>
        <v>1.7960199004975126</v>
      </c>
    </row>
    <row r="45" spans="1:8" ht="15" customHeight="1" x14ac:dyDescent="0.35">
      <c r="A45" s="33" t="s">
        <v>11</v>
      </c>
      <c r="B45" s="60">
        <f t="shared" si="0"/>
        <v>1</v>
      </c>
      <c r="C45" s="36">
        <v>1.4999999999999999E-2</v>
      </c>
      <c r="D45" s="57">
        <f t="shared" si="1"/>
        <v>0.98516707817916471</v>
      </c>
      <c r="E45" s="61">
        <f t="shared" si="2"/>
        <v>1.8049999999999999</v>
      </c>
      <c r="F45" s="61">
        <f t="shared" si="3"/>
        <v>1.7782265761133922</v>
      </c>
    </row>
    <row r="46" spans="1:8" ht="15" customHeight="1" x14ac:dyDescent="0.35">
      <c r="A46" s="33" t="s">
        <v>14</v>
      </c>
      <c r="B46" s="60">
        <f t="shared" si="0"/>
        <v>1.5</v>
      </c>
      <c r="C46" s="36">
        <v>0.02</v>
      </c>
      <c r="D46" s="57">
        <f t="shared" si="1"/>
        <v>0.97059014792764453</v>
      </c>
      <c r="E46" s="61">
        <f t="shared" si="2"/>
        <v>1.8049999999999999</v>
      </c>
      <c r="F46" s="61">
        <f t="shared" si="3"/>
        <v>1.7519152170093983</v>
      </c>
    </row>
    <row r="47" spans="1:8" ht="15" customHeight="1" x14ac:dyDescent="0.35">
      <c r="A47" s="33" t="s">
        <v>17</v>
      </c>
      <c r="B47" s="60">
        <f t="shared" si="0"/>
        <v>2</v>
      </c>
      <c r="C47" s="36">
        <v>2.8400000000000002E-2</v>
      </c>
      <c r="D47" s="57">
        <f t="shared" si="1"/>
        <v>0.94516052563731068</v>
      </c>
      <c r="E47" s="61">
        <f t="shared" si="2"/>
        <v>1.8049999999999999</v>
      </c>
      <c r="F47" s="61">
        <f t="shared" si="3"/>
        <v>1.7060147487753456</v>
      </c>
    </row>
    <row r="48" spans="1:8" ht="15" customHeight="1" x14ac:dyDescent="0.35">
      <c r="A48" s="33" t="s">
        <v>20</v>
      </c>
      <c r="B48" s="60">
        <f t="shared" si="0"/>
        <v>2.5</v>
      </c>
      <c r="C48" s="36">
        <v>0.03</v>
      </c>
      <c r="D48" s="57">
        <f t="shared" si="1"/>
        <v>0.92826032540563996</v>
      </c>
      <c r="E48" s="61">
        <f t="shared" si="2"/>
        <v>1.8049999999999999</v>
      </c>
      <c r="F48" s="61">
        <f t="shared" si="3"/>
        <v>1.6755098873571801</v>
      </c>
    </row>
    <row r="49" spans="1:8" ht="15" customHeight="1" x14ac:dyDescent="0.35">
      <c r="A49" s="33" t="s">
        <v>23</v>
      </c>
      <c r="B49" s="60">
        <f t="shared" si="0"/>
        <v>3</v>
      </c>
      <c r="C49" s="36">
        <v>0.04</v>
      </c>
      <c r="D49" s="57">
        <f t="shared" si="1"/>
        <v>0.88797138218619198</v>
      </c>
      <c r="E49" s="61">
        <f t="shared" si="2"/>
        <v>1.8049999999999999</v>
      </c>
      <c r="F49" s="61">
        <f t="shared" si="3"/>
        <v>1.6027883448460765</v>
      </c>
    </row>
    <row r="50" spans="1:8" ht="15" customHeight="1" x14ac:dyDescent="0.35">
      <c r="A50" s="62">
        <v>7</v>
      </c>
      <c r="B50" s="60">
        <f t="shared" si="0"/>
        <v>3.5</v>
      </c>
      <c r="C50" s="63">
        <v>4.1799999999999997E-2</v>
      </c>
      <c r="D50" s="57">
        <f t="shared" si="1"/>
        <v>0.86520211676059533</v>
      </c>
      <c r="E50" s="61">
        <f t="shared" si="2"/>
        <v>1.8049999999999999</v>
      </c>
      <c r="F50" s="61">
        <f t="shared" si="3"/>
        <v>1.5616898207528744</v>
      </c>
    </row>
    <row r="51" spans="1:8" ht="15" customHeight="1" x14ac:dyDescent="0.35">
      <c r="A51" s="33" t="s">
        <v>32</v>
      </c>
      <c r="B51" s="60">
        <f t="shared" si="0"/>
        <v>4</v>
      </c>
      <c r="C51" s="36">
        <v>0.05</v>
      </c>
      <c r="D51" s="57">
        <f t="shared" si="1"/>
        <v>0.82074657081309188</v>
      </c>
      <c r="E51" s="61">
        <f t="shared" si="2"/>
        <v>1.8049999999999999</v>
      </c>
      <c r="F51" s="61">
        <f t="shared" si="3"/>
        <v>1.4814475603176307</v>
      </c>
    </row>
    <row r="52" spans="1:8" ht="15" customHeight="1" x14ac:dyDescent="0.35">
      <c r="A52" s="33" t="s">
        <v>303</v>
      </c>
      <c r="B52" s="60">
        <f t="shared" si="0"/>
        <v>4.5</v>
      </c>
      <c r="C52" s="36">
        <v>0.06</v>
      </c>
      <c r="D52" s="57">
        <f t="shared" si="1"/>
        <v>0.76641673234362695</v>
      </c>
      <c r="E52" s="61">
        <f t="shared" si="2"/>
        <v>1.8049999999999999</v>
      </c>
      <c r="F52" s="61">
        <f t="shared" si="3"/>
        <v>1.3833822018802466</v>
      </c>
    </row>
    <row r="53" spans="1:8" ht="15" customHeight="1" x14ac:dyDescent="0.35">
      <c r="A53" s="33" t="s">
        <v>296</v>
      </c>
      <c r="B53" s="60">
        <f t="shared" si="0"/>
        <v>5</v>
      </c>
      <c r="C53" s="36">
        <v>7.0000000000000007E-2</v>
      </c>
      <c r="D53" s="57">
        <f t="shared" si="1"/>
        <v>0.70891881370977217</v>
      </c>
      <c r="E53" s="61">
        <f t="shared" si="2"/>
        <v>1.8049999999999999</v>
      </c>
      <c r="F53" s="61">
        <f t="shared" si="3"/>
        <v>1.2795984587461386</v>
      </c>
    </row>
    <row r="54" spans="1:8" ht="15" customHeight="1" x14ac:dyDescent="0.35">
      <c r="A54" s="23" t="s">
        <v>304</v>
      </c>
      <c r="B54" s="64">
        <f>SUM(F44:F53)</f>
        <v>16.016592716295794</v>
      </c>
    </row>
    <row r="55" spans="1:8" ht="15" customHeight="1" x14ac:dyDescent="0.35">
      <c r="A55" s="73" t="s">
        <v>305</v>
      </c>
      <c r="B55" s="67"/>
      <c r="C55" s="67"/>
      <c r="D55" s="67"/>
      <c r="E55" s="67"/>
      <c r="F55" s="67"/>
      <c r="G55" s="67"/>
      <c r="H55" s="67"/>
    </row>
    <row r="56" spans="1:8" ht="15" customHeight="1" x14ac:dyDescent="0.35">
      <c r="A56" s="3" t="s">
        <v>306</v>
      </c>
      <c r="B56" s="39">
        <v>98.02</v>
      </c>
    </row>
    <row r="57" spans="1:8" ht="15" customHeight="1" x14ac:dyDescent="0.35">
      <c r="A57" s="3" t="s">
        <v>307</v>
      </c>
      <c r="B57" s="56">
        <f>IFERROR(B42*RATE(B40*B42,B40*B41/B42,-B56,B40),"N/A")</f>
        <v>3.6849053338118179E-2</v>
      </c>
    </row>
    <row r="58" spans="1:8" ht="15" customHeight="1" x14ac:dyDescent="0.35">
      <c r="A58" s="3" t="s">
        <v>308</v>
      </c>
      <c r="B58" s="65">
        <f>IFERROR(-PV(B57/B42,B40*B42,B40*B41/B42,B40),"N/A")</f>
        <v>98.019999999975155</v>
      </c>
    </row>
    <row r="59" spans="1:8" ht="15" customHeight="1" x14ac:dyDescent="0.35"/>
    <row r="60" spans="1:8" ht="15" customHeight="1" x14ac:dyDescent="0.35">
      <c r="A60" s="1" t="s">
        <v>309</v>
      </c>
    </row>
    <row r="61" spans="1:8" ht="15" customHeight="1" x14ac:dyDescent="0.35">
      <c r="A61" s="3" t="s">
        <v>310</v>
      </c>
      <c r="B61" s="15">
        <v>90000</v>
      </c>
    </row>
    <row r="62" spans="1:8" ht="15" customHeight="1" x14ac:dyDescent="0.35">
      <c r="A62" s="3" t="s">
        <v>311</v>
      </c>
      <c r="B62" s="29">
        <v>5</v>
      </c>
    </row>
    <row r="63" spans="1:8" ht="15" customHeight="1" x14ac:dyDescent="0.35">
      <c r="A63" s="3" t="s">
        <v>312</v>
      </c>
      <c r="B63" s="36">
        <v>3.1199999999999999E-2</v>
      </c>
    </row>
    <row r="64" spans="1:8" ht="15" customHeight="1" x14ac:dyDescent="0.35">
      <c r="A64" s="3" t="s">
        <v>313</v>
      </c>
      <c r="B64" s="36">
        <v>2.12E-2</v>
      </c>
    </row>
    <row r="65" spans="1:2" ht="15" customHeight="1" x14ac:dyDescent="0.35">
      <c r="A65" s="3" t="s">
        <v>314</v>
      </c>
      <c r="B65" s="36">
        <v>2.12E-2</v>
      </c>
    </row>
    <row r="66" spans="1:2" ht="15" customHeight="1" x14ac:dyDescent="0.35">
      <c r="A66" s="3" t="s">
        <v>274</v>
      </c>
      <c r="B66" s="29">
        <v>2</v>
      </c>
    </row>
    <row r="67" spans="1:2" ht="15" customHeight="1" x14ac:dyDescent="0.35"/>
    <row r="68" spans="1:2" ht="15" customHeight="1" x14ac:dyDescent="0.35">
      <c r="A68" s="23" t="s">
        <v>315</v>
      </c>
    </row>
    <row r="69" spans="1:2" ht="15" customHeight="1" x14ac:dyDescent="0.35">
      <c r="A69" s="3" t="s">
        <v>316</v>
      </c>
      <c r="B69" s="17">
        <f>B51*(1+B53/B56)^(B52*B56)</f>
        <v>13571388934.228754</v>
      </c>
    </row>
    <row r="70" spans="1:2" ht="15" customHeight="1" x14ac:dyDescent="0.35">
      <c r="A70" s="3" t="s">
        <v>317</v>
      </c>
      <c r="B70" s="15">
        <v>100000</v>
      </c>
    </row>
    <row r="71" spans="1:2" ht="15" customHeight="1" x14ac:dyDescent="0.35">
      <c r="A71" s="3" t="s">
        <v>318</v>
      </c>
      <c r="B71" s="53" t="str">
        <f>IF(B59&gt;=B60,"✅ YES","❌ NO")</f>
        <v>✅ YES</v>
      </c>
    </row>
    <row r="73" spans="1:2" ht="15" customHeight="1" x14ac:dyDescent="0.35">
      <c r="A73" s="23" t="s">
        <v>319</v>
      </c>
    </row>
    <row r="74" spans="1:2" ht="15" customHeight="1" x14ac:dyDescent="0.35">
      <c r="A74" s="3" t="s">
        <v>320</v>
      </c>
      <c r="B74" s="16">
        <f>B51*(1+B54)</f>
        <v>68.066370865183174</v>
      </c>
    </row>
    <row r="75" spans="1:2" ht="15" customHeight="1" x14ac:dyDescent="0.35">
      <c r="A75" s="3" t="s">
        <v>321</v>
      </c>
      <c r="B75" s="17">
        <f>B64*(1+B55)^(B52-1)</f>
        <v>2.12E-2</v>
      </c>
    </row>
    <row r="76" spans="1:2" ht="15" customHeight="1" x14ac:dyDescent="0.35">
      <c r="A76" s="3" t="s">
        <v>322</v>
      </c>
      <c r="B76" s="53" t="str">
        <f>IF(B65&gt;=B60,"✅ YES","❌ NO")</f>
        <v>✅ YES</v>
      </c>
    </row>
    <row r="77" spans="1:2" ht="15" customHeight="1" x14ac:dyDescent="0.35">
      <c r="A77" s="3" t="s">
        <v>323</v>
      </c>
      <c r="B77" s="17">
        <f>B59-B65</f>
        <v>-2.12E-2</v>
      </c>
    </row>
  </sheetData>
  <mergeCells count="7">
    <mergeCell ref="A1:H1"/>
    <mergeCell ref="A4:H4"/>
    <mergeCell ref="A21:H21"/>
    <mergeCell ref="A55:H55"/>
    <mergeCell ref="A2:H2"/>
    <mergeCell ref="A13:H13"/>
    <mergeCell ref="A33:H3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2"/>
  <sheetViews>
    <sheetView showGridLines="0" zoomScaleNormal="100" workbookViewId="0"/>
  </sheetViews>
  <sheetFormatPr defaultColWidth="8.6328125" defaultRowHeight="14.5" x14ac:dyDescent="0.35"/>
  <cols>
    <col min="1" max="1" width="38" customWidth="1"/>
    <col min="2" max="7" width="16" customWidth="1"/>
  </cols>
  <sheetData>
    <row r="1" spans="1:7" ht="34.5" customHeight="1" x14ac:dyDescent="0.35">
      <c r="A1" s="72" t="s">
        <v>324</v>
      </c>
      <c r="B1" s="67"/>
      <c r="C1" s="67"/>
      <c r="D1" s="67"/>
      <c r="E1" s="67"/>
      <c r="F1" s="67"/>
      <c r="G1" s="67"/>
    </row>
    <row r="3" spans="1:7" ht="15" customHeight="1" x14ac:dyDescent="0.35">
      <c r="A3" s="66" t="s">
        <v>325</v>
      </c>
      <c r="B3" s="67"/>
      <c r="C3" s="67"/>
      <c r="D3" s="67"/>
      <c r="E3" s="67"/>
      <c r="F3" s="67"/>
      <c r="G3" s="67"/>
    </row>
    <row r="4" spans="1:7" ht="15" customHeight="1" x14ac:dyDescent="0.35">
      <c r="A4" s="21" t="s">
        <v>38</v>
      </c>
      <c r="B4" s="21" t="s">
        <v>230</v>
      </c>
      <c r="C4" s="21" t="s">
        <v>231</v>
      </c>
    </row>
    <row r="5" spans="1:7" ht="15" customHeight="1" x14ac:dyDescent="0.35">
      <c r="A5" s="3" t="s">
        <v>245</v>
      </c>
      <c r="B5" s="14">
        <v>5.2299999999999999E-2</v>
      </c>
      <c r="C5" s="14">
        <v>6.2600000000000003E-2</v>
      </c>
    </row>
    <row r="6" spans="1:7" ht="15" customHeight="1" x14ac:dyDescent="0.35">
      <c r="A6" s="3" t="s">
        <v>233</v>
      </c>
      <c r="B6" s="14">
        <v>0.1777</v>
      </c>
      <c r="C6" s="14">
        <v>0.21160000000000001</v>
      </c>
    </row>
    <row r="7" spans="1:7" ht="15" customHeight="1" x14ac:dyDescent="0.35">
      <c r="A7" s="3" t="s">
        <v>235</v>
      </c>
      <c r="B7" s="51">
        <v>0.754</v>
      </c>
    </row>
    <row r="8" spans="1:7" ht="15" customHeight="1" x14ac:dyDescent="0.35">
      <c r="A8" s="3" t="s">
        <v>326</v>
      </c>
      <c r="B8" s="36">
        <v>1E-4</v>
      </c>
    </row>
    <row r="9" spans="1:7" ht="15" customHeight="1" x14ac:dyDescent="0.35">
      <c r="A9" s="3" t="s">
        <v>327</v>
      </c>
      <c r="B9" s="37">
        <f>B7*B6*C6</f>
        <v>2.835139528E-2</v>
      </c>
    </row>
    <row r="11" spans="1:7" ht="15" customHeight="1" x14ac:dyDescent="0.35">
      <c r="A11" s="3" t="s">
        <v>328</v>
      </c>
      <c r="B11" s="44">
        <f>B5-B8</f>
        <v>5.2199999999999996E-2</v>
      </c>
    </row>
    <row r="12" spans="1:7" ht="15" customHeight="1" x14ac:dyDescent="0.35">
      <c r="A12" s="3" t="s">
        <v>329</v>
      </c>
      <c r="B12" s="44">
        <f>C5-B8</f>
        <v>6.25E-2</v>
      </c>
    </row>
    <row r="14" spans="1:7" ht="15" customHeight="1" x14ac:dyDescent="0.35">
      <c r="A14" s="3" t="s">
        <v>330</v>
      </c>
      <c r="B14" s="18">
        <f>(B11*C6^2-B12*B9)/(B11*C6^2+B12*B6^2-(B11+B12)*B9)</f>
        <v>0.53382355286352445</v>
      </c>
    </row>
    <row r="15" spans="1:7" ht="15" customHeight="1" x14ac:dyDescent="0.35">
      <c r="A15" s="3" t="s">
        <v>331</v>
      </c>
      <c r="B15" s="18">
        <f>1-B14</f>
        <v>0.46617644713647555</v>
      </c>
    </row>
    <row r="17" spans="1:7" ht="15" customHeight="1" x14ac:dyDescent="0.35">
      <c r="A17" s="66" t="s">
        <v>332</v>
      </c>
      <c r="B17" s="67"/>
      <c r="C17" s="67"/>
      <c r="D17" s="67"/>
      <c r="E17" s="67"/>
      <c r="F17" s="67"/>
      <c r="G17" s="67"/>
    </row>
    <row r="18" spans="1:7" ht="15" customHeight="1" x14ac:dyDescent="0.35">
      <c r="A18" s="3" t="s">
        <v>266</v>
      </c>
      <c r="B18" s="18">
        <f>B14*B5+B15*C5</f>
        <v>5.7101617405505699E-2</v>
      </c>
    </row>
    <row r="19" spans="1:7" ht="15" customHeight="1" x14ac:dyDescent="0.35">
      <c r="A19" s="3" t="s">
        <v>333</v>
      </c>
      <c r="B19" s="37">
        <f>B14^2*B6^2+B15^2*C6^2+2*B14*B15*B9</f>
        <v>3.2839760747580701E-2</v>
      </c>
    </row>
    <row r="20" spans="1:7" ht="15" customHeight="1" x14ac:dyDescent="0.35">
      <c r="A20" s="3" t="s">
        <v>334</v>
      </c>
      <c r="B20" s="18">
        <f>SQRT(B19)</f>
        <v>0.18121744051713318</v>
      </c>
    </row>
    <row r="21" spans="1:7" ht="15" customHeight="1" x14ac:dyDescent="0.35">
      <c r="A21" s="3" t="s">
        <v>335</v>
      </c>
      <c r="B21" s="43">
        <f>IF(B20=0,"N/A",(B18-B8)/B20)</f>
        <v>0.31454818721003008</v>
      </c>
    </row>
    <row r="23" spans="1:7" ht="15" customHeight="1" x14ac:dyDescent="0.35">
      <c r="A23" s="66" t="s">
        <v>336</v>
      </c>
      <c r="B23" s="67"/>
      <c r="C23" s="67"/>
      <c r="D23" s="67"/>
      <c r="E23" s="67"/>
      <c r="F23" s="67"/>
      <c r="G23" s="67"/>
    </row>
    <row r="24" spans="1:7" ht="15" customHeight="1" x14ac:dyDescent="0.35">
      <c r="A24" s="3" t="s">
        <v>337</v>
      </c>
      <c r="B24" s="31">
        <v>3</v>
      </c>
    </row>
    <row r="25" spans="1:7" ht="15" customHeight="1" x14ac:dyDescent="0.35">
      <c r="A25" s="3" t="s">
        <v>338</v>
      </c>
      <c r="B25" s="18">
        <f>IF(B20=0,0,(B18-B8)/(B24*B20^2))</f>
        <v>0.57858336061624116</v>
      </c>
    </row>
    <row r="26" spans="1:7" ht="15" customHeight="1" x14ac:dyDescent="0.35">
      <c r="A26" s="3" t="s">
        <v>339</v>
      </c>
      <c r="B26" s="20">
        <f>1-B25</f>
        <v>0.42141663938375884</v>
      </c>
    </row>
    <row r="27" spans="1:7" ht="15" customHeight="1" x14ac:dyDescent="0.35">
      <c r="A27" s="3" t="s">
        <v>340</v>
      </c>
      <c r="B27" s="18">
        <f>B25*B18+(1-B25)*B8</f>
        <v>3.3080187359038712E-2</v>
      </c>
    </row>
    <row r="28" spans="1:7" ht="15" customHeight="1" x14ac:dyDescent="0.35">
      <c r="A28" s="3" t="s">
        <v>341</v>
      </c>
      <c r="B28" s="18">
        <f>B25*B20</f>
        <v>0.1048493957366767</v>
      </c>
    </row>
    <row r="29" spans="1:7" ht="15" customHeight="1" x14ac:dyDescent="0.35">
      <c r="A29" s="3" t="s">
        <v>342</v>
      </c>
      <c r="B29" s="43">
        <f>B27-B24/2*B28^2</f>
        <v>1.6590093679519354E-2</v>
      </c>
    </row>
    <row r="31" spans="1:7" ht="15" customHeight="1" x14ac:dyDescent="0.35">
      <c r="A31" s="3" t="s">
        <v>343</v>
      </c>
      <c r="B31" s="20">
        <f>B25*B14</f>
        <v>0.30886142519187965</v>
      </c>
    </row>
    <row r="32" spans="1:7" ht="15" customHeight="1" x14ac:dyDescent="0.35">
      <c r="A32" s="3" t="s">
        <v>344</v>
      </c>
      <c r="B32" s="20">
        <f>B25*B15</f>
        <v>0.26972193542436151</v>
      </c>
    </row>
    <row r="33" spans="1:7" ht="15" customHeight="1" x14ac:dyDescent="0.35">
      <c r="A33" s="3" t="s">
        <v>345</v>
      </c>
      <c r="B33" s="20">
        <f>B26</f>
        <v>0.42141663938375884</v>
      </c>
    </row>
    <row r="35" spans="1:7" ht="15" customHeight="1" x14ac:dyDescent="0.35">
      <c r="A35" s="66" t="s">
        <v>346</v>
      </c>
      <c r="B35" s="67"/>
      <c r="C35" s="67"/>
      <c r="D35" s="67"/>
      <c r="E35" s="67"/>
      <c r="F35" s="67"/>
      <c r="G35" s="67"/>
    </row>
    <row r="36" spans="1:7" ht="15" customHeight="1" x14ac:dyDescent="0.35">
      <c r="A36" s="3" t="s">
        <v>347</v>
      </c>
      <c r="B36" s="14">
        <v>0.1</v>
      </c>
    </row>
    <row r="37" spans="1:7" ht="15" customHeight="1" x14ac:dyDescent="0.35">
      <c r="A37" s="3" t="s">
        <v>348</v>
      </c>
      <c r="B37" s="14">
        <v>0.02</v>
      </c>
    </row>
    <row r="38" spans="1:7" ht="15" customHeight="1" x14ac:dyDescent="0.35">
      <c r="A38" s="3" t="s">
        <v>349</v>
      </c>
      <c r="B38" s="49">
        <v>1.2</v>
      </c>
    </row>
    <row r="39" spans="1:7" ht="15" customHeight="1" x14ac:dyDescent="0.35">
      <c r="A39" s="3" t="s">
        <v>350</v>
      </c>
      <c r="B39" s="18">
        <f>B37+B38*(B36-B37)</f>
        <v>0.11600000000000001</v>
      </c>
    </row>
    <row r="40" spans="1:7" ht="15" customHeight="1" x14ac:dyDescent="0.35">
      <c r="A40" s="3" t="s">
        <v>351</v>
      </c>
      <c r="B40" s="14">
        <v>0.13</v>
      </c>
    </row>
    <row r="41" spans="1:7" ht="15" customHeight="1" x14ac:dyDescent="0.35">
      <c r="A41" s="3" t="s">
        <v>352</v>
      </c>
      <c r="B41" s="18">
        <f>B40-B39</f>
        <v>1.3999999999999999E-2</v>
      </c>
    </row>
    <row r="42" spans="1:7" ht="15" customHeight="1" x14ac:dyDescent="0.35">
      <c r="A42" s="3" t="s">
        <v>353</v>
      </c>
      <c r="B42" s="20">
        <f>B36-B37</f>
        <v>0.08</v>
      </c>
    </row>
    <row r="43" spans="1:7" ht="15" customHeight="1" x14ac:dyDescent="0.35">
      <c r="A43" s="3" t="s">
        <v>354</v>
      </c>
      <c r="B43" s="42">
        <f>IF(B36-B37=0,"N/A",(B40-B37)/(B36-B37))</f>
        <v>1.375</v>
      </c>
    </row>
    <row r="45" spans="1:7" ht="15" customHeight="1" x14ac:dyDescent="0.35">
      <c r="A45" s="66" t="s">
        <v>355</v>
      </c>
      <c r="B45" s="67"/>
      <c r="C45" s="67"/>
      <c r="D45" s="67"/>
      <c r="E45" s="67"/>
      <c r="F45" s="67"/>
      <c r="G45" s="67"/>
    </row>
    <row r="46" spans="1:7" ht="15" customHeight="1" x14ac:dyDescent="0.35">
      <c r="A46" s="69" t="s">
        <v>356</v>
      </c>
      <c r="B46" s="67"/>
      <c r="C46" s="67"/>
      <c r="D46" s="67"/>
      <c r="E46" s="67"/>
      <c r="F46" s="67"/>
      <c r="G46" s="67"/>
    </row>
    <row r="47" spans="1:7" ht="15" customHeight="1" x14ac:dyDescent="0.35">
      <c r="A47" s="3" t="s">
        <v>337</v>
      </c>
      <c r="B47" s="31">
        <v>2</v>
      </c>
    </row>
    <row r="48" spans="1:7" ht="15" customHeight="1" x14ac:dyDescent="0.35">
      <c r="A48" s="3" t="s">
        <v>357</v>
      </c>
      <c r="B48" s="48">
        <v>5.7242000000000001E-2</v>
      </c>
    </row>
    <row r="49" spans="1:3" ht="15" customHeight="1" x14ac:dyDescent="0.35">
      <c r="A49" s="3" t="s">
        <v>358</v>
      </c>
      <c r="B49" s="48">
        <v>0.179507</v>
      </c>
    </row>
    <row r="50" spans="1:3" ht="15" customHeight="1" x14ac:dyDescent="0.35">
      <c r="A50" s="3" t="s">
        <v>255</v>
      </c>
      <c r="B50" s="36">
        <v>1E-4</v>
      </c>
    </row>
    <row r="51" spans="1:3" ht="15" customHeight="1" x14ac:dyDescent="0.35">
      <c r="A51" s="3" t="s">
        <v>338</v>
      </c>
      <c r="B51" s="18">
        <f>(B48-B50)/(B47*B49^2)</f>
        <v>0.88667132475738053</v>
      </c>
    </row>
    <row r="52" spans="1:3" ht="15" customHeight="1" x14ac:dyDescent="0.35">
      <c r="A52" s="3" t="s">
        <v>359</v>
      </c>
      <c r="B52" s="20">
        <f>1-B51</f>
        <v>0.11332867524261947</v>
      </c>
    </row>
    <row r="53" spans="1:3" ht="15" customHeight="1" x14ac:dyDescent="0.35">
      <c r="A53" s="3" t="s">
        <v>340</v>
      </c>
      <c r="B53" s="18">
        <f>B51*B48+(1-B51)*B50</f>
        <v>5.0766172839286243E-2</v>
      </c>
    </row>
    <row r="54" spans="1:3" ht="15" customHeight="1" x14ac:dyDescent="0.35">
      <c r="A54" s="3" t="s">
        <v>341</v>
      </c>
      <c r="B54" s="18">
        <f>B51*B49</f>
        <v>0.15916370949322312</v>
      </c>
    </row>
    <row r="55" spans="1:3" ht="15" customHeight="1" x14ac:dyDescent="0.35">
      <c r="A55" s="3" t="s">
        <v>360</v>
      </c>
      <c r="B55" s="43">
        <f>B54-B47/2*(B54)^2</f>
        <v>0.13383062307357999</v>
      </c>
    </row>
    <row r="57" spans="1:3" ht="23.9" customHeight="1" x14ac:dyDescent="0.35">
      <c r="A57" s="13" t="s">
        <v>361</v>
      </c>
      <c r="B57" s="13" t="s">
        <v>362</v>
      </c>
      <c r="C57" s="13" t="s">
        <v>363</v>
      </c>
    </row>
    <row r="58" spans="1:3" ht="15" customHeight="1" x14ac:dyDescent="0.35">
      <c r="A58" s="3" t="s">
        <v>230</v>
      </c>
      <c r="B58" s="48">
        <v>0.5121</v>
      </c>
      <c r="C58" s="18">
        <f>B51*B58</f>
        <v>0.45406438540825456</v>
      </c>
    </row>
    <row r="59" spans="1:3" ht="15" customHeight="1" x14ac:dyDescent="0.35">
      <c r="A59" s="3" t="s">
        <v>231</v>
      </c>
      <c r="B59" s="48">
        <v>0.37019999999999997</v>
      </c>
      <c r="C59" s="18">
        <f>B51*B59</f>
        <v>0.32824572442518224</v>
      </c>
    </row>
    <row r="60" spans="1:3" ht="15" customHeight="1" x14ac:dyDescent="0.35">
      <c r="A60" s="3" t="s">
        <v>244</v>
      </c>
      <c r="B60" s="48">
        <v>0.1177</v>
      </c>
      <c r="C60" s="18">
        <f>B51*B60</f>
        <v>0.10436121492394369</v>
      </c>
    </row>
    <row r="61" spans="1:3" ht="15" customHeight="1" x14ac:dyDescent="0.35">
      <c r="A61" s="3" t="s">
        <v>364</v>
      </c>
      <c r="B61" s="20">
        <f>1-SUM(B58:B60)</f>
        <v>0</v>
      </c>
      <c r="C61" s="18">
        <f>1-B51</f>
        <v>0.11332867524261947</v>
      </c>
    </row>
    <row r="62" spans="1:3" ht="15" customHeight="1" x14ac:dyDescent="0.35">
      <c r="A62" s="12" t="s">
        <v>365</v>
      </c>
    </row>
  </sheetData>
  <mergeCells count="7">
    <mergeCell ref="A45:G45"/>
    <mergeCell ref="A46:G46"/>
    <mergeCell ref="A1:G1"/>
    <mergeCell ref="A17:G17"/>
    <mergeCell ref="A3:G3"/>
    <mergeCell ref="A35:G35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0"/>
  <sheetViews>
    <sheetView showGridLines="0" zoomScaleNormal="100" workbookViewId="0"/>
  </sheetViews>
  <sheetFormatPr defaultColWidth="8.6328125" defaultRowHeight="14.5" x14ac:dyDescent="0.35"/>
  <cols>
    <col min="1" max="1" width="38" customWidth="1"/>
    <col min="2" max="2" width="14" customWidth="1"/>
    <col min="3" max="4" width="16" customWidth="1"/>
    <col min="5" max="5" width="14" customWidth="1"/>
    <col min="6" max="6" width="12" customWidth="1"/>
    <col min="7" max="8" width="14" customWidth="1"/>
  </cols>
  <sheetData>
    <row r="1" spans="1:8" ht="34.5" customHeight="1" x14ac:dyDescent="0.35">
      <c r="A1" s="72" t="s">
        <v>366</v>
      </c>
      <c r="B1" s="67"/>
      <c r="C1" s="67"/>
      <c r="D1" s="67"/>
      <c r="E1" s="67"/>
      <c r="F1" s="67"/>
      <c r="G1" s="67"/>
      <c r="H1" s="67"/>
    </row>
    <row r="3" spans="1:8" ht="15" customHeight="1" x14ac:dyDescent="0.35">
      <c r="A3" s="66" t="s">
        <v>367</v>
      </c>
      <c r="B3" s="67"/>
      <c r="C3" s="67"/>
      <c r="D3" s="67"/>
      <c r="E3" s="67"/>
      <c r="F3" s="67"/>
    </row>
    <row r="4" spans="1:8" ht="15" customHeight="1" x14ac:dyDescent="0.35">
      <c r="A4" s="3" t="s">
        <v>368</v>
      </c>
      <c r="B4" s="36">
        <v>0.03</v>
      </c>
    </row>
    <row r="5" spans="1:8" ht="15" customHeight="1" x14ac:dyDescent="0.35">
      <c r="A5" s="3" t="s">
        <v>369</v>
      </c>
      <c r="B5" s="29">
        <v>30</v>
      </c>
    </row>
    <row r="6" spans="1:8" ht="15" customHeight="1" x14ac:dyDescent="0.35">
      <c r="A6" s="3" t="s">
        <v>370</v>
      </c>
      <c r="B6" s="38">
        <v>6187.54</v>
      </c>
    </row>
    <row r="8" spans="1:8" ht="15" customHeight="1" x14ac:dyDescent="0.35">
      <c r="A8" s="66" t="s">
        <v>371</v>
      </c>
      <c r="B8" s="67"/>
      <c r="C8" s="67"/>
      <c r="D8" s="67"/>
      <c r="E8" s="67"/>
      <c r="F8" s="67"/>
      <c r="G8" s="67"/>
      <c r="H8" s="67"/>
    </row>
    <row r="9" spans="1:8" ht="15" customHeight="1" x14ac:dyDescent="0.35">
      <c r="A9" s="21" t="s">
        <v>372</v>
      </c>
      <c r="B9" s="21" t="s">
        <v>138</v>
      </c>
      <c r="C9" s="21" t="s">
        <v>373</v>
      </c>
      <c r="D9" s="21" t="s">
        <v>374</v>
      </c>
      <c r="E9" s="21" t="s">
        <v>375</v>
      </c>
      <c r="F9" s="21" t="s">
        <v>376</v>
      </c>
    </row>
    <row r="10" spans="1:8" ht="15" customHeight="1" x14ac:dyDescent="0.35">
      <c r="A10" s="5">
        <f>1</f>
        <v>1</v>
      </c>
      <c r="B10" s="31">
        <v>0.5</v>
      </c>
      <c r="C10" s="15">
        <v>200</v>
      </c>
      <c r="D10" s="32">
        <f t="shared" ref="D10:D29" si="0">IF(C10=0,0,C10/(1+$B$4)^B10)</f>
        <v>197.06585563285861</v>
      </c>
      <c r="E10" s="20">
        <f t="shared" ref="E10:E29" si="1">IF($D$31=0,0,D10/$D$31)</f>
        <v>6.6286458040733368E-2</v>
      </c>
      <c r="F10" s="42">
        <f t="shared" ref="F10:F29" si="2">E10*B10</f>
        <v>3.3143229020366684E-2</v>
      </c>
    </row>
    <row r="11" spans="1:8" ht="15" customHeight="1" x14ac:dyDescent="0.35">
      <c r="A11" s="5">
        <f>2</f>
        <v>2</v>
      </c>
      <c r="B11" s="31">
        <v>1</v>
      </c>
      <c r="C11" s="15">
        <v>197</v>
      </c>
      <c r="D11" s="32">
        <f t="shared" si="0"/>
        <v>191.26213592233009</v>
      </c>
      <c r="E11" s="20">
        <f t="shared" si="1"/>
        <v>6.4334278035543355E-2</v>
      </c>
      <c r="F11" s="42">
        <f t="shared" si="2"/>
        <v>6.4334278035543355E-2</v>
      </c>
    </row>
    <row r="12" spans="1:8" ht="15" customHeight="1" x14ac:dyDescent="0.35">
      <c r="A12" s="5">
        <f>3</f>
        <v>3</v>
      </c>
      <c r="B12" s="31">
        <v>1.5</v>
      </c>
      <c r="C12" s="15">
        <v>194</v>
      </c>
      <c r="D12" s="32">
        <f t="shared" si="0"/>
        <v>185.58629122706103</v>
      </c>
      <c r="E12" s="20">
        <f t="shared" si="1"/>
        <v>6.2425110970399378E-2</v>
      </c>
      <c r="F12" s="42">
        <f t="shared" si="2"/>
        <v>9.3637666455599067E-2</v>
      </c>
    </row>
    <row r="13" spans="1:8" ht="15" customHeight="1" x14ac:dyDescent="0.35">
      <c r="A13" s="5">
        <f>4</f>
        <v>4</v>
      </c>
      <c r="B13" s="31">
        <v>2</v>
      </c>
      <c r="C13" s="15">
        <v>191</v>
      </c>
      <c r="D13" s="32">
        <f t="shared" si="0"/>
        <v>180.03581864454708</v>
      </c>
      <c r="E13" s="20">
        <f t="shared" si="1"/>
        <v>6.0558114951401024E-2</v>
      </c>
      <c r="F13" s="42">
        <f t="shared" si="2"/>
        <v>0.12111622990280205</v>
      </c>
    </row>
    <row r="14" spans="1:8" ht="15" customHeight="1" x14ac:dyDescent="0.35">
      <c r="A14" s="5">
        <f>5</f>
        <v>5</v>
      </c>
      <c r="B14" s="31">
        <v>2.5</v>
      </c>
      <c r="C14" s="15">
        <v>188</v>
      </c>
      <c r="D14" s="32">
        <f t="shared" si="0"/>
        <v>174.60826118850702</v>
      </c>
      <c r="E14" s="20">
        <f t="shared" si="1"/>
        <v>5.8732463529351832E-2</v>
      </c>
      <c r="F14" s="42">
        <f t="shared" si="2"/>
        <v>0.14683115882337958</v>
      </c>
    </row>
    <row r="15" spans="1:8" ht="15" customHeight="1" x14ac:dyDescent="0.35">
      <c r="A15" s="5">
        <f>6</f>
        <v>6</v>
      </c>
      <c r="B15" s="31">
        <v>3</v>
      </c>
      <c r="C15" s="15">
        <v>185</v>
      </c>
      <c r="D15" s="32">
        <f t="shared" si="0"/>
        <v>169.30120698033451</v>
      </c>
      <c r="E15" s="20">
        <f t="shared" si="1"/>
        <v>5.694734542779032E-2</v>
      </c>
      <c r="F15" s="42">
        <f t="shared" si="2"/>
        <v>0.17084203628337097</v>
      </c>
    </row>
    <row r="16" spans="1:8" ht="15" customHeight="1" x14ac:dyDescent="0.35">
      <c r="A16" s="5">
        <f>7</f>
        <v>7</v>
      </c>
      <c r="B16" s="31">
        <v>3.5</v>
      </c>
      <c r="C16" s="15">
        <v>182</v>
      </c>
      <c r="D16" s="32">
        <f t="shared" si="0"/>
        <v>164.11228845439103</v>
      </c>
      <c r="E16" s="20">
        <f t="shared" si="1"/>
        <v>5.5201964275676689E-2</v>
      </c>
      <c r="F16" s="42">
        <f t="shared" si="2"/>
        <v>0.19320687496486841</v>
      </c>
    </row>
    <row r="17" spans="1:6" ht="15" customHeight="1" x14ac:dyDescent="0.35">
      <c r="A17" s="5">
        <f>8</f>
        <v>8</v>
      </c>
      <c r="B17" s="31">
        <v>4</v>
      </c>
      <c r="C17" s="15">
        <v>179</v>
      </c>
      <c r="D17" s="32">
        <f t="shared" si="0"/>
        <v>159.03918157690833</v>
      </c>
      <c r="E17" s="20">
        <f t="shared" si="1"/>
        <v>5.3495538344657409E-2</v>
      </c>
      <c r="F17" s="42">
        <f t="shared" si="2"/>
        <v>0.21398215337862964</v>
      </c>
    </row>
    <row r="18" spans="1:6" ht="15" customHeight="1" x14ac:dyDescent="0.35">
      <c r="A18" s="5">
        <f>9</f>
        <v>9</v>
      </c>
      <c r="B18" s="31">
        <v>4.5</v>
      </c>
      <c r="C18" s="15">
        <v>176</v>
      </c>
      <c r="D18" s="32">
        <f t="shared" si="0"/>
        <v>154.07960507827173</v>
      </c>
      <c r="E18" s="20">
        <f t="shared" si="1"/>
        <v>5.1827300290830561E-2</v>
      </c>
      <c r="F18" s="42">
        <f t="shared" si="2"/>
        <v>0.23322285130873752</v>
      </c>
    </row>
    <row r="19" spans="1:6" ht="15" customHeight="1" x14ac:dyDescent="0.35">
      <c r="A19" s="5">
        <f>10</f>
        <v>10</v>
      </c>
      <c r="B19" s="31">
        <v>5</v>
      </c>
      <c r="C19" s="15">
        <v>173</v>
      </c>
      <c r="D19" s="32">
        <f t="shared" si="0"/>
        <v>149.2313196984604</v>
      </c>
      <c r="E19" s="20">
        <f t="shared" si="1"/>
        <v>5.0196496900936874E-2</v>
      </c>
      <c r="F19" s="42">
        <f t="shared" si="2"/>
        <v>0.25098248450468436</v>
      </c>
    </row>
    <row r="20" spans="1:6" ht="15" customHeight="1" x14ac:dyDescent="0.35">
      <c r="A20" s="5">
        <f>11</f>
        <v>11</v>
      </c>
      <c r="B20" s="31">
        <v>5.5</v>
      </c>
      <c r="C20" s="15">
        <v>170</v>
      </c>
      <c r="D20" s="32">
        <f t="shared" si="0"/>
        <v>144.49212744542251</v>
      </c>
      <c r="E20" s="20">
        <f t="shared" si="1"/>
        <v>4.8602388842901557E-2</v>
      </c>
      <c r="F20" s="42">
        <f t="shared" si="2"/>
        <v>0.26731313863595857</v>
      </c>
    </row>
    <row r="21" spans="1:6" ht="15" customHeight="1" x14ac:dyDescent="0.35">
      <c r="A21" s="5">
        <f>12</f>
        <v>12</v>
      </c>
      <c r="B21" s="31">
        <v>6</v>
      </c>
      <c r="C21" s="15">
        <v>167</v>
      </c>
      <c r="D21" s="32">
        <f t="shared" si="0"/>
        <v>139.8598708661703</v>
      </c>
      <c r="E21" s="20">
        <f t="shared" si="1"/>
        <v>4.704425042065468E-2</v>
      </c>
      <c r="F21" s="42">
        <f t="shared" si="2"/>
        <v>0.28226550252392807</v>
      </c>
    </row>
    <row r="22" spans="1:6" ht="15" customHeight="1" x14ac:dyDescent="0.35">
      <c r="A22" s="5">
        <f>13</f>
        <v>13</v>
      </c>
      <c r="B22" s="31">
        <v>6.5</v>
      </c>
      <c r="C22" s="15">
        <v>164</v>
      </c>
      <c r="D22" s="32">
        <f t="shared" si="0"/>
        <v>135.33243233037859</v>
      </c>
      <c r="E22" s="20">
        <f t="shared" si="1"/>
        <v>4.5521369333157369E-2</v>
      </c>
      <c r="F22" s="42">
        <f t="shared" si="2"/>
        <v>0.29588890066552287</v>
      </c>
    </row>
    <row r="23" spans="1:6" ht="15" customHeight="1" x14ac:dyDescent="0.35">
      <c r="A23" s="5">
        <f>14</f>
        <v>14</v>
      </c>
      <c r="B23" s="31">
        <v>7</v>
      </c>
      <c r="C23" s="15">
        <v>161</v>
      </c>
      <c r="D23" s="32">
        <f t="shared" si="0"/>
        <v>130.90773332627995</v>
      </c>
      <c r="E23" s="20">
        <f t="shared" si="1"/>
        <v>4.4033046437564109E-2</v>
      </c>
      <c r="F23" s="42">
        <f t="shared" si="2"/>
        <v>0.30823132506294876</v>
      </c>
    </row>
    <row r="24" spans="1:6" ht="15" customHeight="1" x14ac:dyDescent="0.35">
      <c r="A24" s="5">
        <f>15</f>
        <v>15</v>
      </c>
      <c r="B24" s="31">
        <v>7.5</v>
      </c>
      <c r="C24" s="15">
        <v>158</v>
      </c>
      <c r="D24" s="32">
        <f t="shared" si="0"/>
        <v>126.58373376864681</v>
      </c>
      <c r="E24" s="20">
        <f t="shared" si="1"/>
        <v>4.2578595516450775E-2</v>
      </c>
      <c r="F24" s="42">
        <f t="shared" si="2"/>
        <v>0.31933946637338079</v>
      </c>
    </row>
    <row r="25" spans="1:6" ht="15" customHeight="1" x14ac:dyDescent="0.35">
      <c r="A25" s="5">
        <f>16</f>
        <v>16</v>
      </c>
      <c r="B25" s="31">
        <v>8</v>
      </c>
      <c r="C25" s="15">
        <v>155</v>
      </c>
      <c r="D25" s="32">
        <f t="shared" si="0"/>
        <v>122.35843131866005</v>
      </c>
      <c r="E25" s="20">
        <f t="shared" si="1"/>
        <v>4.1157343049040819E-2</v>
      </c>
      <c r="F25" s="42">
        <f t="shared" si="2"/>
        <v>0.32925874439232655</v>
      </c>
    </row>
    <row r="26" spans="1:6" ht="15" customHeight="1" x14ac:dyDescent="0.35">
      <c r="A26" s="5">
        <f>17</f>
        <v>17</v>
      </c>
      <c r="B26" s="31">
        <v>8.5</v>
      </c>
      <c r="C26" s="15">
        <v>152</v>
      </c>
      <c r="D26" s="32">
        <f t="shared" si="0"/>
        <v>118.22986071546215</v>
      </c>
      <c r="E26" s="20">
        <f t="shared" si="1"/>
        <v>3.9768627986361785E-2</v>
      </c>
      <c r="F26" s="42">
        <f t="shared" si="2"/>
        <v>0.33803333788407519</v>
      </c>
    </row>
    <row r="27" spans="1:6" ht="15" customHeight="1" x14ac:dyDescent="0.35">
      <c r="A27" s="5">
        <f>18</f>
        <v>18</v>
      </c>
      <c r="B27" s="31">
        <v>9</v>
      </c>
      <c r="C27" s="15">
        <v>149</v>
      </c>
      <c r="D27" s="32">
        <f t="shared" si="0"/>
        <v>114.19609311920041</v>
      </c>
      <c r="E27" s="20">
        <f t="shared" si="1"/>
        <v>3.8411801530266715E-2</v>
      </c>
      <c r="F27" s="42">
        <f t="shared" si="2"/>
        <v>0.34570621377240041</v>
      </c>
    </row>
    <row r="28" spans="1:6" ht="15" customHeight="1" x14ac:dyDescent="0.35">
      <c r="A28" s="5">
        <f>19</f>
        <v>19</v>
      </c>
      <c r="B28" s="31">
        <v>9.5</v>
      </c>
      <c r="C28" s="15">
        <v>146</v>
      </c>
      <c r="D28" s="32">
        <f t="shared" si="0"/>
        <v>110.25523546536455</v>
      </c>
      <c r="E28" s="20">
        <f t="shared" si="1"/>
        <v>3.70862269162546E-2</v>
      </c>
      <c r="F28" s="42">
        <f t="shared" si="2"/>
        <v>0.35231915570441869</v>
      </c>
    </row>
    <row r="29" spans="1:6" ht="15" customHeight="1" x14ac:dyDescent="0.35">
      <c r="A29" s="5">
        <f>20</f>
        <v>20</v>
      </c>
      <c r="B29" s="31">
        <v>10</v>
      </c>
      <c r="C29" s="15">
        <v>143</v>
      </c>
      <c r="D29" s="32">
        <f t="shared" si="0"/>
        <v>106.4054298302317</v>
      </c>
      <c r="E29" s="20">
        <f t="shared" si="1"/>
        <v>3.5791279200026976E-2</v>
      </c>
      <c r="F29" s="42">
        <f t="shared" si="2"/>
        <v>0.35791279200026976</v>
      </c>
    </row>
    <row r="31" spans="1:6" ht="15" customHeight="1" x14ac:dyDescent="0.35">
      <c r="A31" s="23" t="s">
        <v>377</v>
      </c>
      <c r="D31" s="54">
        <f>SUM(D10:D29)</f>
        <v>2972.9429125894862</v>
      </c>
    </row>
    <row r="33" spans="1:8" ht="15" customHeight="1" x14ac:dyDescent="0.35">
      <c r="A33" s="66" t="s">
        <v>378</v>
      </c>
      <c r="B33" s="67"/>
      <c r="C33" s="67"/>
      <c r="D33" s="67"/>
      <c r="E33" s="67"/>
      <c r="F33" s="67"/>
      <c r="G33" s="67"/>
      <c r="H33" s="67"/>
    </row>
    <row r="34" spans="1:8" ht="15" customHeight="1" x14ac:dyDescent="0.35">
      <c r="A34" s="3" t="s">
        <v>379</v>
      </c>
      <c r="B34" s="43">
        <f>SUM(F10:F29)</f>
        <v>4.7175675396932109</v>
      </c>
    </row>
    <row r="35" spans="1:8" ht="15" customHeight="1" x14ac:dyDescent="0.35">
      <c r="A35" s="3" t="s">
        <v>380</v>
      </c>
      <c r="B35" s="37">
        <f>1/(1+B4)^B5</f>
        <v>0.41198675951590691</v>
      </c>
    </row>
    <row r="36" spans="1:8" ht="15" customHeight="1" x14ac:dyDescent="0.35">
      <c r="A36" s="3" t="s">
        <v>381</v>
      </c>
      <c r="B36" s="18">
        <f>IF(B5=0,0,B34/B5)</f>
        <v>0.15725225132310702</v>
      </c>
    </row>
    <row r="37" spans="1:8" ht="15" customHeight="1" x14ac:dyDescent="0.35">
      <c r="A37" s="3" t="s">
        <v>382</v>
      </c>
      <c r="B37" s="18">
        <f>1-B36</f>
        <v>0.84274774867689295</v>
      </c>
    </row>
    <row r="38" spans="1:8" ht="15" customHeight="1" x14ac:dyDescent="0.35">
      <c r="A38" s="3" t="s">
        <v>383</v>
      </c>
      <c r="B38" s="54">
        <f>B36*D31</f>
        <v>467.50196605977169</v>
      </c>
    </row>
    <row r="39" spans="1:8" ht="15" customHeight="1" x14ac:dyDescent="0.35">
      <c r="A39" s="3" t="s">
        <v>384</v>
      </c>
      <c r="B39" s="54">
        <f>B37*D31</f>
        <v>2505.4409465297144</v>
      </c>
    </row>
    <row r="40" spans="1:8" ht="15" customHeight="1" x14ac:dyDescent="0.35">
      <c r="A40" s="3" t="s">
        <v>385</v>
      </c>
      <c r="B40" s="54">
        <f>B38+B39</f>
        <v>2972.9429125894862</v>
      </c>
    </row>
  </sheetData>
  <mergeCells count="4">
    <mergeCell ref="A3:F3"/>
    <mergeCell ref="A8:H8"/>
    <mergeCell ref="A33:H33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📋 Overview</vt:lpstr>
      <vt:lpstr>📊 Leverage &amp; Returns</vt:lpstr>
      <vt:lpstr>⚖️ Balance Sheet</vt:lpstr>
      <vt:lpstr>📅 Loan &amp; TVM</vt:lpstr>
      <vt:lpstr>💵 Bond Pricing</vt:lpstr>
      <vt:lpstr>📏 Duration</vt:lpstr>
      <vt:lpstr>📈 Equities &amp; DDM</vt:lpstr>
      <vt:lpstr>🔀 Portfolio Theory</vt:lpstr>
      <vt:lpstr>✂️ STRIPS</vt:lpstr>
      <vt:lpstr>🎯 MVE &amp; CAPM</vt:lpstr>
      <vt:lpstr>🛡️ Immunization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Jacobs</cp:lastModifiedBy>
  <cp:revision>0</cp:revision>
  <dcterms:created xsi:type="dcterms:W3CDTF">2026-03-08T00:07:54Z</dcterms:created>
  <dcterms:modified xsi:type="dcterms:W3CDTF">2026-03-08T02:54:43Z</dcterms:modified>
  <dc:language>en-US</dc:language>
</cp:coreProperties>
</file>