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2735/Dropbox/8. FACULTY/Teaching : Coursework/02 2025S CMI/COURSE Lecture Slides/11 Portfolio Choice 2 - Portfolio Optimization (Part 1)/"/>
    </mc:Choice>
  </mc:AlternateContent>
  <xr:revisionPtr revIDLastSave="0" documentId="13_ncr:1_{D52AAC6A-7C58-3846-A3AA-40024C72245C}" xr6:coauthVersionLast="47" xr6:coauthVersionMax="47" xr10:uidLastSave="{00000000-0000-0000-0000-000000000000}"/>
  <bookViews>
    <workbookView xWindow="0" yWindow="500" windowWidth="38400" windowHeight="19920" xr2:uid="{1D2C43D8-7C13-424F-B30C-6ADAB91F0AAC}"/>
  </bookViews>
  <sheets>
    <sheet name="Example 1 - Role of Correlation" sheetId="3" r:id="rId1"/>
    <sheet name="Example 2 - MVE" sheetId="1" r:id="rId2"/>
    <sheet name="Example 3 - Equity-Bond Opt" sheetId="5" r:id="rId3"/>
  </sheets>
  <definedNames>
    <definedName name="solver_adj" localSheetId="1" hidden="1">'Example 2 - MVE'!$C$44</definedName>
    <definedName name="solver_adj" localSheetId="2" hidden="1">'Example 3 - Equity-Bond Opt'!$C$14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itr" localSheetId="1" hidden="1">2147483647</definedName>
    <definedName name="solver_itr" localSheetId="2" hidden="1">2147483647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opt" localSheetId="1" hidden="1">'Example 2 - MVE'!$C$47</definedName>
    <definedName name="solver_opt" localSheetId="2" hidden="1">'Example 3 - Equity-Bond Opt'!$C$19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5" i="5"/>
  <c r="C18" i="5" s="1"/>
  <c r="C17" i="5" l="1"/>
  <c r="C19" i="5" l="1"/>
  <c r="C46" i="1" l="1"/>
  <c r="C45" i="1"/>
  <c r="C17" i="1"/>
  <c r="C47" i="1" l="1"/>
  <c r="E7" i="3"/>
  <c r="C12" i="3" s="1"/>
  <c r="C15" i="1"/>
  <c r="D15" i="1"/>
  <c r="C16" i="1"/>
  <c r="D16" i="1"/>
  <c r="D17" i="1"/>
  <c r="C18" i="1"/>
  <c r="D18" i="1"/>
  <c r="C19" i="1"/>
  <c r="D19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D12" i="3" l="1"/>
</calcChain>
</file>

<file path=xl/sharedStrings.xml><?xml version="1.0" encoding="utf-8"?>
<sst xmlns="http://schemas.openxmlformats.org/spreadsheetml/2006/main" count="51" uniqueCount="38">
  <si>
    <t>Volatility</t>
  </si>
  <si>
    <t>Expected return</t>
  </si>
  <si>
    <t>Weight</t>
  </si>
  <si>
    <t>Correlation</t>
  </si>
  <si>
    <t>Rf</t>
  </si>
  <si>
    <t xml:space="preserve">Portfolio </t>
  </si>
  <si>
    <t>Microsoft</t>
  </si>
  <si>
    <t xml:space="preserve">Apple </t>
  </si>
  <si>
    <t xml:space="preserve">Weight </t>
  </si>
  <si>
    <t>Volitility</t>
  </si>
  <si>
    <t>Expected Return</t>
  </si>
  <si>
    <t>In-class Exercise: Role of Correlation</t>
  </si>
  <si>
    <t>In-class Exercise: Optimal Risky Portfolio (MVE)</t>
  </si>
  <si>
    <t>E[R1]</t>
  </si>
  <si>
    <t>E[R2]</t>
  </si>
  <si>
    <t>Parameter</t>
  </si>
  <si>
    <t>Value</t>
  </si>
  <si>
    <t>Interpretation</t>
  </si>
  <si>
    <t xml:space="preserve">Riskfree Rate </t>
  </si>
  <si>
    <t>Expected Return of Asset 1</t>
  </si>
  <si>
    <t>Expected Return of Asset 2</t>
  </si>
  <si>
    <t>Return Correlation of Asset 1 &amp; 2</t>
  </si>
  <si>
    <t>σ1</t>
  </si>
  <si>
    <t>σ2</t>
  </si>
  <si>
    <t>ρ</t>
  </si>
  <si>
    <t>Volatility of Asset 1</t>
  </si>
  <si>
    <t>Volatility of Asset 2</t>
  </si>
  <si>
    <r>
      <t xml:space="preserve">What is the optimal weight? (Use </t>
    </r>
    <r>
      <rPr>
        <b/>
        <sz val="12"/>
        <color theme="4"/>
        <rFont val="Calibri (Body)"/>
      </rPr>
      <t>Solver</t>
    </r>
    <r>
      <rPr>
        <b/>
        <sz val="12"/>
        <color theme="1"/>
        <rFont val="Calibri"/>
        <family val="2"/>
        <scheme val="minor"/>
      </rPr>
      <t>)</t>
    </r>
  </si>
  <si>
    <t>E[R]</t>
  </si>
  <si>
    <t>Sharpe</t>
  </si>
  <si>
    <t>Inputs</t>
  </si>
  <si>
    <t>Equity</t>
  </si>
  <si>
    <t>Bond</t>
  </si>
  <si>
    <t>Risk-free asset</t>
  </si>
  <si>
    <t>Asset</t>
  </si>
  <si>
    <t>Sharpe Ratio</t>
  </si>
  <si>
    <t>In-class Exercise: Equity-Bond Optimization</t>
  </si>
  <si>
    <t>Corrrelation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</si>
</sst>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 (Body)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1"/>
    <xf numFmtId="0" fontId="0" fillId="0" borderId="3" xfId="0" applyBorder="1"/>
    <xf numFmtId="0" fontId="0" fillId="0" borderId="5" xfId="0" applyBorder="1"/>
    <xf numFmtId="10" fontId="0" fillId="0" borderId="5" xfId="0" applyNumberFormat="1" applyBorder="1"/>
    <xf numFmtId="0" fontId="1" fillId="0" borderId="9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9" fontId="1" fillId="0" borderId="0" xfId="1" applyNumberFormat="1" applyAlignment="1">
      <alignment horizontal="center"/>
    </xf>
    <xf numFmtId="0" fontId="1" fillId="0" borderId="5" xfId="1" applyBorder="1" applyAlignment="1">
      <alignment horizontal="center"/>
    </xf>
    <xf numFmtId="0" fontId="1" fillId="0" borderId="14" xfId="1" applyBorder="1" applyAlignment="1">
      <alignment horizontal="center"/>
    </xf>
    <xf numFmtId="9" fontId="1" fillId="0" borderId="7" xfId="1" applyNumberForma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9" xfId="1" applyBorder="1"/>
    <xf numFmtId="165" fontId="1" fillId="2" borderId="7" xfId="1" applyNumberFormat="1" applyFill="1" applyBorder="1" applyAlignment="1">
      <alignment horizontal="center"/>
    </xf>
    <xf numFmtId="165" fontId="1" fillId="2" borderId="8" xfId="1" applyNumberFormat="1" applyFill="1" applyBorder="1" applyAlignment="1">
      <alignment horizontal="center"/>
    </xf>
    <xf numFmtId="0" fontId="4" fillId="0" borderId="0" xfId="1" applyFont="1" applyAlignment="1">
      <alignment vertical="center"/>
    </xf>
    <xf numFmtId="10" fontId="0" fillId="0" borderId="3" xfId="0" applyNumberFormat="1" applyBorder="1"/>
    <xf numFmtId="10" fontId="0" fillId="0" borderId="8" xfId="0" applyNumberFormat="1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10" fontId="0" fillId="0" borderId="3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3" borderId="15" xfId="0" applyFill="1" applyBorder="1"/>
    <xf numFmtId="0" fontId="0" fillId="3" borderId="1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5" fontId="0" fillId="3" borderId="1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5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/>
    <xf numFmtId="165" fontId="6" fillId="0" borderId="0" xfId="0" applyNumberFormat="1" applyFont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9" fontId="6" fillId="2" borderId="5" xfId="4" applyFont="1" applyFill="1" applyBorder="1" applyAlignment="1">
      <alignment horizontal="center"/>
    </xf>
    <xf numFmtId="9" fontId="6" fillId="2" borderId="8" xfId="4" applyFont="1" applyFill="1" applyBorder="1" applyAlignment="1">
      <alignment horizontal="center"/>
    </xf>
    <xf numFmtId="10" fontId="6" fillId="2" borderId="15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164" fontId="6" fillId="2" borderId="14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5">
    <cellStyle name="Normal" xfId="0" builtinId="0"/>
    <cellStyle name="Normal 2" xfId="1" xr:uid="{BAAFBCC5-DC89-804C-BF38-0517E978499F}"/>
    <cellStyle name="Normal 3" xfId="2" xr:uid="{A00DFFEA-67BA-7C4D-AB87-449DDB26557A}"/>
    <cellStyle name="Percent" xfId="4" builtinId="5"/>
    <cellStyle name="Percent 2" xfId="3" xr:uid="{7FB5D5C6-D863-0547-A8C4-EFB7FA645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05-7B45-905F-C2AB62B3216E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A05-7B45-905F-C2AB62B3216E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A05-7B45-905F-C2AB62B3216E}"/>
              </c:ext>
            </c:extLst>
          </c:dPt>
          <c:dLbls>
            <c:dLbl>
              <c:idx val="6"/>
              <c:layout>
                <c:manualLayout>
                  <c:x val="-1.9743336623889436E-3"/>
                  <c:y val="7.35068912710566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/>
                      <a:t>Euro Stock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05-7B45-905F-C2AB62B3216E}"/>
                </c:ext>
              </c:extLst>
            </c:dLbl>
            <c:dLbl>
              <c:idx val="11"/>
              <c:layout>
                <c:manualLayout>
                  <c:x val="-0.1928923988153998"/>
                  <c:y val="-3.36906584992343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/>
                      <a:t>MVE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05-7B45-905F-C2AB62B3216E}"/>
                </c:ext>
              </c:extLst>
            </c:dLbl>
            <c:dLbl>
              <c:idx val="14"/>
              <c:layout>
                <c:manualLayout>
                  <c:x val="-5.5824362033719203E-2"/>
                  <c:y val="0.131699846860643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/>
                      <a:t>U.S. Stock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A05-7B45-905F-C2AB62B321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'Example 2 - MVE'!$D$15:$D$41</c:f>
              <c:numCache>
                <c:formatCode>0.00%</c:formatCode>
                <c:ptCount val="27"/>
                <c:pt idx="0">
                  <c:v>0.25711862939118202</c:v>
                </c:pt>
                <c:pt idx="1">
                  <c:v>0.2470970280808735</c:v>
                </c:pt>
                <c:pt idx="2">
                  <c:v>0.23748026061464564</c:v>
                </c:pt>
                <c:pt idx="3">
                  <c:v>0.22831948726641799</c:v>
                </c:pt>
                <c:pt idx="4">
                  <c:v>0.21967176317952203</c:v>
                </c:pt>
                <c:pt idx="5">
                  <c:v>0.21160000000000001</c:v>
                </c:pt>
                <c:pt idx="6">
                  <c:v>0.20417251933205899</c:v>
                </c:pt>
                <c:pt idx="7">
                  <c:v>0.19746203809745308</c:v>
                </c:pt>
                <c:pt idx="8">
                  <c:v>0.19154392842791962</c:v>
                </c:pt>
                <c:pt idx="9">
                  <c:v>0.18649363993015955</c:v>
                </c:pt>
                <c:pt idx="10">
                  <c:v>0.18238327812603874</c:v>
                </c:pt>
                <c:pt idx="11">
                  <c:v>0.1792775048197626</c:v>
                </c:pt>
                <c:pt idx="12">
                  <c:v>0.17722914127648423</c:v>
                </c:pt>
                <c:pt idx="13">
                  <c:v>0.17627505350899769</c:v>
                </c:pt>
                <c:pt idx="14">
                  <c:v>0.17643299478952343</c:v>
                </c:pt>
                <c:pt idx="15">
                  <c:v>0.1777</c:v>
                </c:pt>
                <c:pt idx="16">
                  <c:v>0.18005265768213477</c:v>
                </c:pt>
                <c:pt idx="17">
                  <c:v>0.18344920350222294</c:v>
                </c:pt>
                <c:pt idx="18">
                  <c:v>0.187833016750517</c:v>
                </c:pt>
                <c:pt idx="19">
                  <c:v>0.19313688225297623</c:v>
                </c:pt>
                <c:pt idx="20">
                  <c:v>0.19928735429023087</c:v>
                </c:pt>
                <c:pt idx="21">
                  <c:v>0.20620869298455877</c:v>
                </c:pt>
                <c:pt idx="22">
                  <c:v>0.2138260548520689</c:v>
                </c:pt>
                <c:pt idx="23">
                  <c:v>0.22206782656116578</c:v>
                </c:pt>
                <c:pt idx="24">
                  <c:v>0.23086714500422104</c:v>
                </c:pt>
                <c:pt idx="25">
                  <c:v>0.24016273416165129</c:v>
                </c:pt>
                <c:pt idx="26">
                  <c:v>0.24989922029970402</c:v>
                </c:pt>
              </c:numCache>
            </c:numRef>
          </c:xVal>
          <c:yVal>
            <c:numRef>
              <c:f>'Example 2 - MVE'!$C$15:$C$41</c:f>
              <c:numCache>
                <c:formatCode>0.00%</c:formatCode>
                <c:ptCount val="27"/>
                <c:pt idx="0">
                  <c:v>6.7750000000000005E-2</c:v>
                </c:pt>
                <c:pt idx="1">
                  <c:v>6.6720000000000002E-2</c:v>
                </c:pt>
                <c:pt idx="2">
                  <c:v>6.5690000000000012E-2</c:v>
                </c:pt>
                <c:pt idx="3">
                  <c:v>6.4660000000000009E-2</c:v>
                </c:pt>
                <c:pt idx="4">
                  <c:v>6.3630000000000006E-2</c:v>
                </c:pt>
                <c:pt idx="5">
                  <c:v>6.2600000000000003E-2</c:v>
                </c:pt>
                <c:pt idx="6">
                  <c:v>6.157E-2</c:v>
                </c:pt>
                <c:pt idx="7">
                  <c:v>6.054000000000001E-2</c:v>
                </c:pt>
                <c:pt idx="8">
                  <c:v>5.9509999999999993E-2</c:v>
                </c:pt>
                <c:pt idx="9">
                  <c:v>5.8480000000000004E-2</c:v>
                </c:pt>
                <c:pt idx="10">
                  <c:v>5.7450000000000001E-2</c:v>
                </c:pt>
                <c:pt idx="11">
                  <c:v>5.6419999999999998E-2</c:v>
                </c:pt>
                <c:pt idx="12">
                  <c:v>5.5390000000000002E-2</c:v>
                </c:pt>
                <c:pt idx="13">
                  <c:v>5.4359999999999999E-2</c:v>
                </c:pt>
                <c:pt idx="14">
                  <c:v>5.3330000000000002E-2</c:v>
                </c:pt>
                <c:pt idx="15">
                  <c:v>5.2299999999999999E-2</c:v>
                </c:pt>
                <c:pt idx="16">
                  <c:v>5.1269999999999996E-2</c:v>
                </c:pt>
                <c:pt idx="17">
                  <c:v>5.024E-2</c:v>
                </c:pt>
                <c:pt idx="18">
                  <c:v>4.920999999999999E-2</c:v>
                </c:pt>
                <c:pt idx="19">
                  <c:v>4.8180000000000001E-2</c:v>
                </c:pt>
                <c:pt idx="20">
                  <c:v>4.7149999999999991E-2</c:v>
                </c:pt>
                <c:pt idx="21">
                  <c:v>4.6119999999999994E-2</c:v>
                </c:pt>
                <c:pt idx="22">
                  <c:v>4.5090000000000005E-2</c:v>
                </c:pt>
                <c:pt idx="23">
                  <c:v>4.4059999999999995E-2</c:v>
                </c:pt>
                <c:pt idx="24">
                  <c:v>4.3030000000000006E-2</c:v>
                </c:pt>
                <c:pt idx="25">
                  <c:v>4.1999999999999996E-2</c:v>
                </c:pt>
                <c:pt idx="26">
                  <c:v>4.0969999999999993E-2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05-7B45-905F-C2AB62B32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831616"/>
        <c:axId val="934624464"/>
      </c:scatterChart>
      <c:valAx>
        <c:axId val="93483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Portfolio</a:t>
                </a:r>
                <a:r>
                  <a:rPr lang="en-US" sz="1400" baseline="0"/>
                  <a:t> 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624464"/>
        <c:crosses val="autoZero"/>
        <c:crossBetween val="midCat"/>
      </c:valAx>
      <c:valAx>
        <c:axId val="9346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Portfolio 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3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7</xdr:col>
      <xdr:colOff>465343</xdr:colOff>
      <xdr:row>15</xdr:row>
      <xdr:rowOff>97631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E4EDC-25A3-E841-BDE9-F37DAD38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5191" y="2743588"/>
          <a:ext cx="4701908" cy="504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21258</xdr:colOff>
      <xdr:row>2</xdr:row>
      <xdr:rowOff>199610</xdr:rowOff>
    </xdr:from>
    <xdr:to>
      <xdr:col>16</xdr:col>
      <xdr:colOff>648804</xdr:colOff>
      <xdr:row>33</xdr:row>
      <xdr:rowOff>55217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8A394-DAE5-284F-AD2B-BAB0C26BE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0.13129</cdr:x>
      <cdr:y>0.317</cdr:y>
    </cdr:from>
    <cdr:to>
      <cdr:x>0.62685</cdr:x>
      <cdr:y>0.80704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94026B2-2C92-B84B-37E5-EE28DE55BD0A}"/>
            </a:ext>
          </a:extLst>
        </cdr:cNvPr>
        <cdr:cNvCxnSpPr/>
      </cdr:nvCxnSpPr>
      <cdr:spPr>
        <a:xfrm xmlns:a="http://schemas.openxmlformats.org/drawingml/2006/main" flipV="1">
          <a:off x="844550" y="1314450"/>
          <a:ext cx="3187700" cy="2032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>
              <a:alpha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0.13129</cdr:x>
      <cdr:y>0.21899</cdr:y>
    </cdr:from>
    <cdr:to>
      <cdr:x>0.6999</cdr:x>
      <cdr:y>0.80398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56003A8-0DE7-2CE7-774C-EFBD9556C9D2}"/>
            </a:ext>
          </a:extLst>
        </cdr:cNvPr>
        <cdr:cNvCxnSpPr/>
      </cdr:nvCxnSpPr>
      <cdr:spPr>
        <a:xfrm xmlns:a="http://schemas.openxmlformats.org/drawingml/2006/main" flipV="1">
          <a:off x="844550" y="908050"/>
          <a:ext cx="3657600" cy="24257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>
              <a:alpha val="50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0.13327</cdr:x>
      <cdr:y>0.09035</cdr:y>
    </cdr:from>
    <cdr:to>
      <cdr:x>0.79072</cdr:x>
      <cdr:y>0.80092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1070934B-4A20-3ABA-7C4A-5B99D6F28A5C}"/>
            </a:ext>
          </a:extLst>
        </cdr:cNvPr>
        <cdr:cNvCxnSpPr/>
      </cdr:nvCxnSpPr>
      <cdr:spPr>
        <a:xfrm xmlns:a="http://schemas.openxmlformats.org/drawingml/2006/main" flipV="1">
          <a:off x="857250" y="374650"/>
          <a:ext cx="4229100" cy="294640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0.08786</cdr:x>
      <cdr:y>0.7611</cdr:y>
    </cdr:from>
    <cdr:to>
      <cdr:x>0.17473</cdr:x>
      <cdr:y>0.8438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50A757D8-5B33-532E-A15E-BA36E44AF3D2}"/>
            </a:ext>
          </a:extLst>
        </cdr:cNvPr>
        <cdr:cNvSpPr txBox="1"/>
      </cdr:nvSpPr>
      <cdr:spPr>
        <a:xfrm xmlns:a="http://schemas.openxmlformats.org/drawingml/2006/main">
          <a:off x="565150" y="3155950"/>
          <a:ext cx="558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Rf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D753-3B72-6C41-BB38-07497B023923}">
  <dimension ref="B1:E12"/>
  <sheetViews>
    <sheetView tabSelected="1" zoomScale="131" zoomScaleNormal="206" workbookViewId="0">
      <selection activeCell="D14" sqref="D14"/>
    </sheetView>
  </sheetViews>
  <sheetFormatPr baseColWidth="10" defaultRowHeight="16" x14ac:dyDescent="0.2"/>
  <cols>
    <col min="1" max="1" width="4.6640625" style="1" customWidth="1"/>
    <col min="2" max="2" width="10.83203125" style="1"/>
    <col min="3" max="3" width="15.6640625" style="1" customWidth="1"/>
    <col min="4" max="4" width="17.6640625" style="1" customWidth="1"/>
    <col min="5" max="5" width="16.33203125" style="1" customWidth="1"/>
    <col min="6" max="16384" width="10.83203125" style="1"/>
  </cols>
  <sheetData>
    <row r="1" spans="2:5" ht="17" thickBot="1" x14ac:dyDescent="0.25"/>
    <row r="2" spans="2:5" x14ac:dyDescent="0.2">
      <c r="B2" s="64" t="s">
        <v>11</v>
      </c>
      <c r="C2" s="65"/>
      <c r="D2" s="65"/>
      <c r="E2" s="66"/>
    </row>
    <row r="3" spans="2:5" ht="17" thickBot="1" x14ac:dyDescent="0.25">
      <c r="B3" s="67"/>
      <c r="C3" s="68"/>
      <c r="D3" s="68"/>
      <c r="E3" s="69"/>
    </row>
    <row r="4" spans="2:5" ht="17" thickBot="1" x14ac:dyDescent="0.25"/>
    <row r="5" spans="2:5" ht="17" thickBot="1" x14ac:dyDescent="0.25">
      <c r="B5" s="5"/>
      <c r="C5" s="6" t="s">
        <v>10</v>
      </c>
      <c r="D5" s="6" t="s">
        <v>9</v>
      </c>
      <c r="E5" s="7" t="s">
        <v>8</v>
      </c>
    </row>
    <row r="6" spans="2:5" x14ac:dyDescent="0.2">
      <c r="B6" s="8" t="s">
        <v>7</v>
      </c>
      <c r="C6" s="9">
        <v>0.1</v>
      </c>
      <c r="D6" s="9">
        <v>0.12</v>
      </c>
      <c r="E6" s="10">
        <v>0.45</v>
      </c>
    </row>
    <row r="7" spans="2:5" ht="17" thickBot="1" x14ac:dyDescent="0.25">
      <c r="B7" s="11" t="s">
        <v>6</v>
      </c>
      <c r="C7" s="12">
        <v>0.12</v>
      </c>
      <c r="D7" s="12">
        <v>0.15</v>
      </c>
      <c r="E7" s="13">
        <f>1-E6</f>
        <v>0.55000000000000004</v>
      </c>
    </row>
    <row r="8" spans="2:5" ht="17" thickBot="1" x14ac:dyDescent="0.25">
      <c r="B8" s="14"/>
      <c r="C8" s="9"/>
      <c r="D8" s="9"/>
      <c r="E8" s="14"/>
    </row>
    <row r="9" spans="2:5" ht="17" thickBot="1" x14ac:dyDescent="0.25">
      <c r="B9" s="15" t="s">
        <v>3</v>
      </c>
      <c r="C9" s="7">
        <v>0.6</v>
      </c>
    </row>
    <row r="10" spans="2:5" ht="17" thickBot="1" x14ac:dyDescent="0.25"/>
    <row r="11" spans="2:5" ht="17" thickBot="1" x14ac:dyDescent="0.25">
      <c r="B11" s="5"/>
      <c r="C11" s="6" t="s">
        <v>10</v>
      </c>
      <c r="D11" s="7" t="s">
        <v>0</v>
      </c>
    </row>
    <row r="12" spans="2:5" ht="17" thickBot="1" x14ac:dyDescent="0.25">
      <c r="B12" s="11" t="s">
        <v>5</v>
      </c>
      <c r="C12" s="16">
        <f>C6*E6+C7*E7</f>
        <v>0.11100000000000002</v>
      </c>
      <c r="D12" s="17">
        <f>SQRT(D6^2*E6^2 + D7^2*E7^2 + 2*D6*D7*E6*E7*C9)</f>
        <v>0.12275280037538859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9370-163F-784C-B936-A2EA932BB777}">
  <dimension ref="B1:F47"/>
  <sheetViews>
    <sheetView topLeftCell="A7" zoomScale="94" zoomScaleNormal="92" workbookViewId="0">
      <selection activeCell="D44" sqref="D44"/>
    </sheetView>
  </sheetViews>
  <sheetFormatPr baseColWidth="10" defaultRowHeight="16" x14ac:dyDescent="0.2"/>
  <cols>
    <col min="1" max="1" width="5.1640625" customWidth="1"/>
    <col min="2" max="2" width="10.5" customWidth="1"/>
    <col min="3" max="3" width="23.33203125" customWidth="1"/>
    <col min="4" max="4" width="30.6640625" customWidth="1"/>
  </cols>
  <sheetData>
    <row r="1" spans="2:6" ht="17" thickBot="1" x14ac:dyDescent="0.25"/>
    <row r="2" spans="2:6" s="1" customFormat="1" ht="16" customHeight="1" x14ac:dyDescent="0.2">
      <c r="B2" s="64" t="s">
        <v>12</v>
      </c>
      <c r="C2" s="65"/>
      <c r="D2" s="66"/>
      <c r="E2" s="18"/>
      <c r="F2" s="18"/>
    </row>
    <row r="3" spans="2:6" s="1" customFormat="1" ht="16" customHeight="1" thickBot="1" x14ac:dyDescent="0.25">
      <c r="B3" s="67"/>
      <c r="C3" s="68"/>
      <c r="D3" s="69"/>
      <c r="E3" s="18"/>
      <c r="F3" s="18"/>
    </row>
    <row r="4" spans="2:6" s="1" customFormat="1" ht="16" customHeight="1" thickBot="1" x14ac:dyDescent="0.25">
      <c r="B4" s="30" t="s">
        <v>15</v>
      </c>
      <c r="C4" s="31" t="s">
        <v>16</v>
      </c>
      <c r="D4" s="30" t="s">
        <v>17</v>
      </c>
      <c r="E4" s="18"/>
      <c r="F4" s="18"/>
    </row>
    <row r="5" spans="2:6" x14ac:dyDescent="0.2">
      <c r="B5" s="21" t="s">
        <v>13</v>
      </c>
      <c r="C5" s="24">
        <v>5.2299999999999999E-2</v>
      </c>
      <c r="D5" s="19" t="s">
        <v>19</v>
      </c>
    </row>
    <row r="6" spans="2:6" x14ac:dyDescent="0.2">
      <c r="B6" s="22" t="s">
        <v>14</v>
      </c>
      <c r="C6" s="25">
        <v>6.2600000000000003E-2</v>
      </c>
      <c r="D6" s="4" t="s">
        <v>20</v>
      </c>
    </row>
    <row r="7" spans="2:6" ht="17" thickBot="1" x14ac:dyDescent="0.25">
      <c r="B7" s="23" t="s">
        <v>4</v>
      </c>
      <c r="C7" s="26">
        <v>1E-4</v>
      </c>
      <c r="D7" s="20" t="s">
        <v>18</v>
      </c>
    </row>
    <row r="8" spans="2:6" ht="17" thickBot="1" x14ac:dyDescent="0.25"/>
    <row r="9" spans="2:6" x14ac:dyDescent="0.2">
      <c r="B9" s="21" t="s">
        <v>22</v>
      </c>
      <c r="C9" s="27">
        <v>0.1777</v>
      </c>
      <c r="D9" s="19" t="s">
        <v>25</v>
      </c>
    </row>
    <row r="10" spans="2:6" x14ac:dyDescent="0.2">
      <c r="B10" s="22" t="s">
        <v>23</v>
      </c>
      <c r="C10" s="28">
        <v>0.21160000000000001</v>
      </c>
      <c r="D10" s="4" t="s">
        <v>26</v>
      </c>
    </row>
    <row r="11" spans="2:6" ht="17" thickBot="1" x14ac:dyDescent="0.25">
      <c r="B11" s="23" t="s">
        <v>24</v>
      </c>
      <c r="C11" s="43">
        <v>0.754</v>
      </c>
      <c r="D11" s="20" t="s">
        <v>21</v>
      </c>
    </row>
    <row r="13" spans="2:6" ht="17" thickBot="1" x14ac:dyDescent="0.25"/>
    <row r="14" spans="2:6" ht="17" thickBot="1" x14ac:dyDescent="0.25">
      <c r="B14" s="32" t="s">
        <v>2</v>
      </c>
      <c r="C14" s="36" t="s">
        <v>1</v>
      </c>
      <c r="D14" s="37" t="s">
        <v>0</v>
      </c>
    </row>
    <row r="15" spans="2:6" x14ac:dyDescent="0.2">
      <c r="B15" s="33">
        <v>-0.5</v>
      </c>
      <c r="C15" s="27">
        <f t="shared" ref="C15:C41" si="0">B15*$C$5 + (1-B15)*$C$6</f>
        <v>6.7750000000000005E-2</v>
      </c>
      <c r="D15" s="24">
        <f t="shared" ref="D15:D41" si="1">(B15^2*$C$9^2 + (1-B15)^2*$C$10^2 + 2*B15*(1-B15)*$C$9*$C$10*$C$11)^0.5</f>
        <v>0.25711862939118202</v>
      </c>
    </row>
    <row r="16" spans="2:6" x14ac:dyDescent="0.2">
      <c r="B16" s="34">
        <v>-0.4</v>
      </c>
      <c r="C16" s="28">
        <f t="shared" si="0"/>
        <v>6.6720000000000002E-2</v>
      </c>
      <c r="D16" s="25">
        <f t="shared" si="1"/>
        <v>0.2470970280808735</v>
      </c>
    </row>
    <row r="17" spans="2:4" x14ac:dyDescent="0.2">
      <c r="B17" s="34">
        <v>-0.3</v>
      </c>
      <c r="C17" s="28">
        <f>B17*$C$5 + (1-B17)*$C$6</f>
        <v>6.5690000000000012E-2</v>
      </c>
      <c r="D17" s="25">
        <f t="shared" si="1"/>
        <v>0.23748026061464564</v>
      </c>
    </row>
    <row r="18" spans="2:4" x14ac:dyDescent="0.2">
      <c r="B18" s="34">
        <v>-0.2</v>
      </c>
      <c r="C18" s="28">
        <f t="shared" si="0"/>
        <v>6.4660000000000009E-2</v>
      </c>
      <c r="D18" s="25">
        <f t="shared" si="1"/>
        <v>0.22831948726641799</v>
      </c>
    </row>
    <row r="19" spans="2:4" x14ac:dyDescent="0.2">
      <c r="B19" s="34">
        <v>-0.1</v>
      </c>
      <c r="C19" s="28">
        <f t="shared" si="0"/>
        <v>6.3630000000000006E-2</v>
      </c>
      <c r="D19" s="25">
        <f t="shared" si="1"/>
        <v>0.21967176317952203</v>
      </c>
    </row>
    <row r="20" spans="2:4" x14ac:dyDescent="0.2">
      <c r="B20" s="38">
        <v>0</v>
      </c>
      <c r="C20" s="39">
        <f>B20*$C$5 + (1-B20)*$C$6</f>
        <v>6.2600000000000003E-2</v>
      </c>
      <c r="D20" s="40">
        <f t="shared" si="1"/>
        <v>0.21160000000000001</v>
      </c>
    </row>
    <row r="21" spans="2:4" x14ac:dyDescent="0.2">
      <c r="B21" s="34">
        <v>0.1</v>
      </c>
      <c r="C21" s="28">
        <f t="shared" si="0"/>
        <v>6.157E-2</v>
      </c>
      <c r="D21" s="25">
        <f t="shared" si="1"/>
        <v>0.20417251933205899</v>
      </c>
    </row>
    <row r="22" spans="2:4" x14ac:dyDescent="0.2">
      <c r="B22" s="34">
        <v>0.2</v>
      </c>
      <c r="C22" s="28">
        <f t="shared" si="0"/>
        <v>6.054000000000001E-2</v>
      </c>
      <c r="D22" s="25">
        <f t="shared" si="1"/>
        <v>0.19746203809745308</v>
      </c>
    </row>
    <row r="23" spans="2:4" x14ac:dyDescent="0.2">
      <c r="B23" s="34">
        <v>0.3</v>
      </c>
      <c r="C23" s="28">
        <f t="shared" si="0"/>
        <v>5.9509999999999993E-2</v>
      </c>
      <c r="D23" s="25">
        <f t="shared" si="1"/>
        <v>0.19154392842791962</v>
      </c>
    </row>
    <row r="24" spans="2:4" x14ac:dyDescent="0.2">
      <c r="B24" s="34">
        <v>0.4</v>
      </c>
      <c r="C24" s="28">
        <f t="shared" si="0"/>
        <v>5.8480000000000004E-2</v>
      </c>
      <c r="D24" s="25">
        <f t="shared" si="1"/>
        <v>0.18649363993015955</v>
      </c>
    </row>
    <row r="25" spans="2:4" x14ac:dyDescent="0.2">
      <c r="B25" s="34">
        <v>0.5</v>
      </c>
      <c r="C25" s="28">
        <f t="shared" si="0"/>
        <v>5.7450000000000001E-2</v>
      </c>
      <c r="D25" s="25">
        <f t="shared" si="1"/>
        <v>0.18238327812603874</v>
      </c>
    </row>
    <row r="26" spans="2:4" x14ac:dyDescent="0.2">
      <c r="B26" s="34">
        <v>0.6</v>
      </c>
      <c r="C26" s="28">
        <f t="shared" si="0"/>
        <v>5.6419999999999998E-2</v>
      </c>
      <c r="D26" s="25">
        <f t="shared" si="1"/>
        <v>0.1792775048197626</v>
      </c>
    </row>
    <row r="27" spans="2:4" x14ac:dyDescent="0.2">
      <c r="B27" s="34">
        <v>0.7</v>
      </c>
      <c r="C27" s="28">
        <f t="shared" si="0"/>
        <v>5.5390000000000002E-2</v>
      </c>
      <c r="D27" s="25">
        <f t="shared" si="1"/>
        <v>0.17722914127648423</v>
      </c>
    </row>
    <row r="28" spans="2:4" x14ac:dyDescent="0.2">
      <c r="B28" s="34">
        <v>0.8</v>
      </c>
      <c r="C28" s="28">
        <f t="shared" si="0"/>
        <v>5.4359999999999999E-2</v>
      </c>
      <c r="D28" s="25">
        <f t="shared" si="1"/>
        <v>0.17627505350899769</v>
      </c>
    </row>
    <row r="29" spans="2:4" x14ac:dyDescent="0.2">
      <c r="B29" s="34">
        <v>0.9</v>
      </c>
      <c r="C29" s="28">
        <f t="shared" si="0"/>
        <v>5.3330000000000002E-2</v>
      </c>
      <c r="D29" s="25">
        <f t="shared" si="1"/>
        <v>0.17643299478952343</v>
      </c>
    </row>
    <row r="30" spans="2:4" x14ac:dyDescent="0.2">
      <c r="B30" s="38">
        <v>1</v>
      </c>
      <c r="C30" s="39">
        <f t="shared" si="0"/>
        <v>5.2299999999999999E-2</v>
      </c>
      <c r="D30" s="40">
        <f t="shared" si="1"/>
        <v>0.1777</v>
      </c>
    </row>
    <row r="31" spans="2:4" x14ac:dyDescent="0.2">
      <c r="B31" s="34">
        <v>1.1000000000000001</v>
      </c>
      <c r="C31" s="28">
        <f t="shared" si="0"/>
        <v>5.1269999999999996E-2</v>
      </c>
      <c r="D31" s="25">
        <f t="shared" si="1"/>
        <v>0.18005265768213477</v>
      </c>
    </row>
    <row r="32" spans="2:4" x14ac:dyDescent="0.2">
      <c r="B32" s="34">
        <v>1.2</v>
      </c>
      <c r="C32" s="28">
        <f t="shared" si="0"/>
        <v>5.024E-2</v>
      </c>
      <c r="D32" s="25">
        <f t="shared" si="1"/>
        <v>0.18344920350222294</v>
      </c>
    </row>
    <row r="33" spans="2:4" x14ac:dyDescent="0.2">
      <c r="B33" s="34">
        <v>1.3</v>
      </c>
      <c r="C33" s="28">
        <f t="shared" si="0"/>
        <v>4.920999999999999E-2</v>
      </c>
      <c r="D33" s="25">
        <f t="shared" si="1"/>
        <v>0.187833016750517</v>
      </c>
    </row>
    <row r="34" spans="2:4" x14ac:dyDescent="0.2">
      <c r="B34" s="34">
        <v>1.4</v>
      </c>
      <c r="C34" s="28">
        <f t="shared" si="0"/>
        <v>4.8180000000000001E-2</v>
      </c>
      <c r="D34" s="25">
        <f t="shared" si="1"/>
        <v>0.19313688225297623</v>
      </c>
    </row>
    <row r="35" spans="2:4" x14ac:dyDescent="0.2">
      <c r="B35" s="34">
        <v>1.5</v>
      </c>
      <c r="C35" s="28">
        <f t="shared" si="0"/>
        <v>4.7149999999999991E-2</v>
      </c>
      <c r="D35" s="25">
        <f t="shared" si="1"/>
        <v>0.19928735429023087</v>
      </c>
    </row>
    <row r="36" spans="2:4" x14ac:dyDescent="0.2">
      <c r="B36" s="34">
        <v>1.6</v>
      </c>
      <c r="C36" s="28">
        <f t="shared" si="0"/>
        <v>4.6119999999999994E-2</v>
      </c>
      <c r="D36" s="25">
        <f t="shared" si="1"/>
        <v>0.20620869298455877</v>
      </c>
    </row>
    <row r="37" spans="2:4" x14ac:dyDescent="0.2">
      <c r="B37" s="34">
        <v>1.7</v>
      </c>
      <c r="C37" s="28">
        <f t="shared" si="0"/>
        <v>4.5090000000000005E-2</v>
      </c>
      <c r="D37" s="25">
        <f t="shared" si="1"/>
        <v>0.2138260548520689</v>
      </c>
    </row>
    <row r="38" spans="2:4" x14ac:dyDescent="0.2">
      <c r="B38" s="34">
        <v>1.8</v>
      </c>
      <c r="C38" s="28">
        <f t="shared" si="0"/>
        <v>4.4059999999999995E-2</v>
      </c>
      <c r="D38" s="25">
        <f t="shared" si="1"/>
        <v>0.22206782656116578</v>
      </c>
    </row>
    <row r="39" spans="2:4" x14ac:dyDescent="0.2">
      <c r="B39" s="34">
        <v>1.9</v>
      </c>
      <c r="C39" s="28">
        <f t="shared" si="0"/>
        <v>4.3030000000000006E-2</v>
      </c>
      <c r="D39" s="25">
        <f t="shared" si="1"/>
        <v>0.23086714500422104</v>
      </c>
    </row>
    <row r="40" spans="2:4" x14ac:dyDescent="0.2">
      <c r="B40" s="34">
        <v>2</v>
      </c>
      <c r="C40" s="28">
        <f t="shared" si="0"/>
        <v>4.1999999999999996E-2</v>
      </c>
      <c r="D40" s="25">
        <f t="shared" si="1"/>
        <v>0.24016273416165129</v>
      </c>
    </row>
    <row r="41" spans="2:4" ht="17" thickBot="1" x14ac:dyDescent="0.25">
      <c r="B41" s="35">
        <v>2.1</v>
      </c>
      <c r="C41" s="29">
        <f t="shared" si="0"/>
        <v>4.0969999999999993E-2</v>
      </c>
      <c r="D41" s="26">
        <f t="shared" si="1"/>
        <v>0.24989922029970402</v>
      </c>
    </row>
    <row r="42" spans="2:4" ht="17" thickBot="1" x14ac:dyDescent="0.25"/>
    <row r="43" spans="2:4" ht="17" thickBot="1" x14ac:dyDescent="0.25">
      <c r="B43" s="70" t="s">
        <v>27</v>
      </c>
      <c r="C43" s="71"/>
      <c r="D43" s="72"/>
    </row>
    <row r="44" spans="2:4" x14ac:dyDescent="0.2">
      <c r="B44" s="33" t="s">
        <v>2</v>
      </c>
      <c r="C44" s="41">
        <v>0.53382321396280741</v>
      </c>
      <c r="D44" s="2"/>
    </row>
    <row r="45" spans="2:4" x14ac:dyDescent="0.2">
      <c r="B45" s="34" t="s">
        <v>28</v>
      </c>
      <c r="C45" s="42">
        <f>C44*C5+(1-C44)*C6</f>
        <v>5.7101620896183085E-2</v>
      </c>
      <c r="D45" s="3"/>
    </row>
    <row r="46" spans="2:4" x14ac:dyDescent="0.2">
      <c r="B46" s="34" t="s">
        <v>0</v>
      </c>
      <c r="C46" s="42">
        <f>(C44^2*$C$9^2 + (1-C44)^2*$C$10^2 + 2*C44*(1-C44)*$C$9*$C$10*$C$11)^0.5</f>
        <v>0.18121745161457189</v>
      </c>
      <c r="D46" s="3"/>
    </row>
    <row r="47" spans="2:4" ht="17" thickBot="1" x14ac:dyDescent="0.25">
      <c r="B47" s="35" t="s">
        <v>29</v>
      </c>
      <c r="C47" s="43">
        <f>(C45-C7)/C46</f>
        <v>0.31454818721001987</v>
      </c>
      <c r="D47" s="44"/>
    </row>
  </sheetData>
  <mergeCells count="2">
    <mergeCell ref="B2:D3"/>
    <mergeCell ref="B43:D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84BA-AB1B-3544-AF92-44E949E274CB}">
  <dimension ref="B1:F19"/>
  <sheetViews>
    <sheetView workbookViewId="0">
      <selection activeCell="D29" sqref="D29"/>
    </sheetView>
  </sheetViews>
  <sheetFormatPr baseColWidth="10" defaultRowHeight="19" x14ac:dyDescent="0.25"/>
  <cols>
    <col min="1" max="1" width="4" style="49" customWidth="1"/>
    <col min="2" max="2" width="19" style="49" customWidth="1"/>
    <col min="3" max="3" width="23.33203125" style="49" customWidth="1"/>
    <col min="4" max="4" width="21.1640625" style="49" customWidth="1"/>
    <col min="5" max="16384" width="10.83203125" style="49"/>
  </cols>
  <sheetData>
    <row r="1" spans="2:6" ht="20" thickBot="1" x14ac:dyDescent="0.3"/>
    <row r="2" spans="2:6" x14ac:dyDescent="0.25">
      <c r="B2" s="64" t="s">
        <v>36</v>
      </c>
      <c r="C2" s="65"/>
      <c r="D2" s="66"/>
    </row>
    <row r="3" spans="2:6" ht="20" thickBot="1" x14ac:dyDescent="0.3">
      <c r="B3" s="67"/>
      <c r="C3" s="68"/>
      <c r="D3" s="69"/>
    </row>
    <row r="4" spans="2:6" ht="20" thickBot="1" x14ac:dyDescent="0.3"/>
    <row r="5" spans="2:6" ht="20" thickBot="1" x14ac:dyDescent="0.3">
      <c r="B5" s="50" t="s">
        <v>30</v>
      </c>
      <c r="C5" s="51" t="s">
        <v>1</v>
      </c>
      <c r="D5" s="52" t="s">
        <v>0</v>
      </c>
    </row>
    <row r="6" spans="2:6" x14ac:dyDescent="0.25">
      <c r="B6" s="53" t="s">
        <v>31</v>
      </c>
      <c r="C6" s="45">
        <v>0.15</v>
      </c>
      <c r="D6" s="46">
        <v>0.2</v>
      </c>
      <c r="F6" s="54"/>
    </row>
    <row r="7" spans="2:6" x14ac:dyDescent="0.25">
      <c r="B7" s="53" t="s">
        <v>32</v>
      </c>
      <c r="C7" s="45">
        <v>0.05</v>
      </c>
      <c r="D7" s="46">
        <v>0.08</v>
      </c>
      <c r="F7" s="55"/>
    </row>
    <row r="8" spans="2:6" ht="20" thickBot="1" x14ac:dyDescent="0.3">
      <c r="B8" s="56" t="s">
        <v>33</v>
      </c>
      <c r="C8" s="47">
        <v>0.02</v>
      </c>
      <c r="D8" s="48"/>
    </row>
    <row r="9" spans="2:6" ht="20" thickBot="1" x14ac:dyDescent="0.3"/>
    <row r="10" spans="2:6" ht="20" thickBot="1" x14ac:dyDescent="0.3">
      <c r="B10" s="50" t="s">
        <v>37</v>
      </c>
      <c r="C10" s="52" t="s">
        <v>31</v>
      </c>
    </row>
    <row r="11" spans="2:6" ht="20" thickBot="1" x14ac:dyDescent="0.3">
      <c r="B11" s="56" t="s">
        <v>32</v>
      </c>
      <c r="C11" s="57">
        <v>0.4</v>
      </c>
    </row>
    <row r="12" spans="2:6" ht="20" thickBot="1" x14ac:dyDescent="0.3"/>
    <row r="13" spans="2:6" ht="20" thickBot="1" x14ac:dyDescent="0.3">
      <c r="B13" s="50" t="s">
        <v>34</v>
      </c>
      <c r="C13" s="52" t="s">
        <v>2</v>
      </c>
    </row>
    <row r="14" spans="2:6" x14ac:dyDescent="0.25">
      <c r="B14" s="53" t="s">
        <v>31</v>
      </c>
      <c r="C14" s="59">
        <v>0.63492063506942498</v>
      </c>
    </row>
    <row r="15" spans="2:6" ht="20" thickBot="1" x14ac:dyDescent="0.3">
      <c r="B15" s="56" t="s">
        <v>32</v>
      </c>
      <c r="C15" s="60">
        <f>1-C14</f>
        <v>0.36507936493057502</v>
      </c>
    </row>
    <row r="16" spans="2:6" ht="20" thickBot="1" x14ac:dyDescent="0.3"/>
    <row r="17" spans="2:3" x14ac:dyDescent="0.25">
      <c r="B17" s="58" t="s">
        <v>10</v>
      </c>
      <c r="C17" s="61">
        <f>C14*C6+C15*C7</f>
        <v>0.11349206350694249</v>
      </c>
    </row>
    <row r="18" spans="2:3" x14ac:dyDescent="0.25">
      <c r="B18" s="53" t="s">
        <v>0</v>
      </c>
      <c r="C18" s="62">
        <f>SQRT(D6^2*C14^2 +D7^2*C15^2+2*C11*D6*D7*C14*C15)</f>
        <v>0.14122667436189923</v>
      </c>
    </row>
    <row r="19" spans="2:3" ht="20" thickBot="1" x14ac:dyDescent="0.3">
      <c r="B19" s="56" t="s">
        <v>35</v>
      </c>
      <c r="C19" s="63">
        <f>(C17-C8)/C18</f>
        <v>0.66200003596604695</v>
      </c>
    </row>
  </sheetData>
  <mergeCells count="1">
    <mergeCell ref="B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1 - Role of Correlation</vt:lpstr>
      <vt:lpstr>Example 2 - MVE</vt:lpstr>
      <vt:lpstr>Example 3 - Equity-Bond 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Li</dc:creator>
  <cp:lastModifiedBy>Oh, Sangmin</cp:lastModifiedBy>
  <dcterms:created xsi:type="dcterms:W3CDTF">2024-02-17T03:37:15Z</dcterms:created>
  <dcterms:modified xsi:type="dcterms:W3CDTF">2025-03-03T22:13:57Z</dcterms:modified>
</cp:coreProperties>
</file>