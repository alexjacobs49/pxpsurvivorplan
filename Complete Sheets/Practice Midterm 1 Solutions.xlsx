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b7ba95c5857df4/Documents/06 Claude Code/Complete Sheets/"/>
    </mc:Choice>
  </mc:AlternateContent>
  <xr:revisionPtr revIDLastSave="0" documentId="13_ncr:1_{CD869D33-7C77-BF47-8CBE-F9D02C5EC2C6}" xr6:coauthVersionLast="47" xr6:coauthVersionMax="47" xr10:uidLastSave="{00000000-0000-0000-0000-000000000000}"/>
  <bookViews>
    <workbookView xWindow="-110" yWindow="-110" windowWidth="19420" windowHeight="11500" activeTab="1" xr2:uid="{1932A107-1C6E-47D3-BD5A-5CF141B78DDC}"/>
  </bookViews>
  <sheets>
    <sheet name="Multiple Choice" sheetId="2" r:id="rId1"/>
    <sheet name="Short Answers" sheetId="1" r:id="rId2"/>
  </sheets>
  <definedNames>
    <definedName name="solver_adj" localSheetId="0" hidden="1">'Multiple Choice'!#REF!</definedName>
    <definedName name="solver_adj" localSheetId="1" hidden="1">'Short Answers'!$D$29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'Multiple Choice'!#REF!</definedName>
    <definedName name="solver_opt" localSheetId="1" hidden="1">'Short Answers'!$D$27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2" l="1"/>
  <c r="C15" i="2"/>
  <c r="D13" i="2"/>
  <c r="C13" i="2"/>
  <c r="C6" i="2"/>
  <c r="C17" i="2" l="1"/>
  <c r="C27" i="2" l="1"/>
  <c r="C29" i="2" s="1"/>
  <c r="C21" i="2"/>
  <c r="C23" i="2" s="1"/>
  <c r="C63" i="1"/>
  <c r="C70" i="1" s="1"/>
  <c r="C61" i="1"/>
  <c r="C44" i="1"/>
  <c r="D44" i="1" s="1"/>
  <c r="C43" i="1"/>
  <c r="D43" i="1" s="1"/>
  <c r="C42" i="1"/>
  <c r="D42" i="1" s="1"/>
  <c r="C41" i="1"/>
  <c r="D41" i="1" s="1"/>
  <c r="C35" i="1"/>
  <c r="D35" i="1" s="1"/>
  <c r="C34" i="1"/>
  <c r="D34" i="1" s="1"/>
  <c r="C33" i="1"/>
  <c r="D33" i="1" s="1"/>
  <c r="C32" i="1"/>
  <c r="D32" i="1" s="1"/>
  <c r="C20" i="1"/>
  <c r="D20" i="1" s="1"/>
  <c r="C18" i="1"/>
  <c r="D18" i="1" s="1"/>
  <c r="C19" i="1"/>
  <c r="D19" i="1" s="1"/>
  <c r="C17" i="1"/>
  <c r="D17" i="1" s="1"/>
  <c r="C77" i="1" l="1"/>
  <c r="D45" i="1"/>
  <c r="E44" i="1" s="1"/>
  <c r="F44" i="1" s="1"/>
  <c r="D21" i="1"/>
  <c r="D25" i="1" s="1"/>
  <c r="D36" i="1"/>
  <c r="D26" i="1" s="1"/>
  <c r="D27" i="1" s="1"/>
  <c r="E43" i="1" l="1"/>
  <c r="F43" i="1" s="1"/>
  <c r="E41" i="1"/>
  <c r="F41" i="1" s="1"/>
  <c r="E42" i="1"/>
  <c r="F42" i="1" s="1"/>
  <c r="F45" i="1" l="1"/>
  <c r="F46" i="1" s="1"/>
  <c r="C51" i="1" l="1"/>
  <c r="C53" i="1" s="1"/>
  <c r="B56" i="1" s="1"/>
  <c r="C62" i="1"/>
  <c r="C65" i="1" l="1"/>
  <c r="D70" i="1"/>
  <c r="D77" i="1"/>
  <c r="C71" i="1" l="1"/>
  <c r="C78" i="1"/>
  <c r="D78" i="1" l="1"/>
  <c r="D79" i="1" s="1"/>
  <c r="C79" i="1"/>
  <c r="D71" i="1"/>
  <c r="D72" i="1" s="1"/>
  <c r="C72" i="1"/>
</calcChain>
</file>

<file path=xl/sharedStrings.xml><?xml version="1.0" encoding="utf-8"?>
<sst xmlns="http://schemas.openxmlformats.org/spreadsheetml/2006/main" count="77" uniqueCount="57">
  <si>
    <t>Short Answer Question 1</t>
  </si>
  <si>
    <t>Maturity (years)</t>
  </si>
  <si>
    <t>Yield</t>
  </si>
  <si>
    <t>(a) Compute the price of the T-Note.</t>
  </si>
  <si>
    <t>Year</t>
  </si>
  <si>
    <t>Cash Flow</t>
  </si>
  <si>
    <t>PV(CF)</t>
  </si>
  <si>
    <t>Price:</t>
  </si>
  <si>
    <t>(b) Compute the yield-to-maturity of the T-Note.</t>
  </si>
  <si>
    <t>Price according to yield:</t>
  </si>
  <si>
    <t>Price according to spot rates:</t>
  </si>
  <si>
    <t>Yield:</t>
  </si>
  <si>
    <t>Difference in prices:</t>
  </si>
  <si>
    <t xml:space="preserve">   &lt;-- Tell Solver to set this difference equal to zero by changing the yield (C28).</t>
  </si>
  <si>
    <t>(c) Compute the Macaulay and Modified durations of the T-Note.</t>
  </si>
  <si>
    <t>Weight</t>
  </si>
  <si>
    <t>Weight*Year</t>
  </si>
  <si>
    <t>MoD:</t>
  </si>
  <si>
    <t>MaD:</t>
  </si>
  <si>
    <t>(d) Compute an estimate of the new value of a $100m investment in the T-Note if the yield curve shifts upwards in parallel by 2%.</t>
  </si>
  <si>
    <t>Initial Position:</t>
  </si>
  <si>
    <t>Yield change:</t>
  </si>
  <si>
    <t>Approx $ Change:</t>
  </si>
  <si>
    <t>New Investment Value:</t>
  </si>
  <si>
    <t>(e) What dollar position in the 3yr STRIP would immunize XYZ’s investment in the 2yr T-Note?</t>
  </si>
  <si>
    <t>MaD of the STRIP:</t>
  </si>
  <si>
    <t>MoD of the STRIP:</t>
  </si>
  <si>
    <t>MoD of the T-Note:</t>
  </si>
  <si>
    <t>Hedge Position:</t>
  </si>
  <si>
    <t>Investment in T-Note:</t>
  </si>
  <si>
    <t xml:space="preserve">(f) Compute estimated cash flows to the T-Note investment and the hedge position if the yield curve shifts up by 2%. </t>
  </si>
  <si>
    <t>T-Note:</t>
  </si>
  <si>
    <t>STRIP:</t>
  </si>
  <si>
    <t>Initial Position</t>
  </si>
  <si>
    <t>Est. Cash Flows</t>
  </si>
  <si>
    <t>What if it shifts down by 1% instead?</t>
  </si>
  <si>
    <t>Net:</t>
  </si>
  <si>
    <t>Question 1</t>
  </si>
  <si>
    <t>E[CF]</t>
  </si>
  <si>
    <t>Price</t>
  </si>
  <si>
    <t>Ann. Ret.</t>
  </si>
  <si>
    <t>Question 2</t>
  </si>
  <si>
    <t>Question 3</t>
  </si>
  <si>
    <t>Question 4</t>
  </si>
  <si>
    <t>(g) What could XYZ do to mitigate the concern that the duration hedge may not be accurate for large yield changes?</t>
  </si>
  <si>
    <t>Maturity</t>
  </si>
  <si>
    <t>10yr Spot</t>
  </si>
  <si>
    <t>Bond</t>
  </si>
  <si>
    <t>5yr</t>
  </si>
  <si>
    <t>20yr</t>
  </si>
  <si>
    <t>MaD</t>
  </si>
  <si>
    <t>MoD</t>
  </si>
  <si>
    <t>$ Position</t>
  </si>
  <si>
    <t>Portfolio MoD</t>
  </si>
  <si>
    <t>Coupon</t>
  </si>
  <si>
    <r>
      <t xml:space="preserve">XYZ could engage in </t>
    </r>
    <r>
      <rPr>
        <i/>
        <sz val="11"/>
        <color theme="1"/>
        <rFont val="Calibri"/>
        <family val="2"/>
        <scheme val="minor"/>
      </rPr>
      <t xml:space="preserve">dynamic immunization. </t>
    </r>
  </si>
  <si>
    <t>Every time there is a small yield change, they could recompute the MoD of both bond positions and the dollar amounts needed to remain hedged.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</si>
</sst>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quotePrefix="1"/>
    <xf numFmtId="10" fontId="3" fillId="0" borderId="0" xfId="0" applyNumberFormat="1" applyFont="1"/>
    <xf numFmtId="0" fontId="5" fillId="0" borderId="0" xfId="0" applyFont="1"/>
    <xf numFmtId="44" fontId="0" fillId="0" borderId="0" xfId="2" applyFont="1" applyBorder="1"/>
    <xf numFmtId="10" fontId="0" fillId="0" borderId="0" xfId="1" applyNumberFormat="1" applyFont="1" applyFill="1"/>
    <xf numFmtId="0" fontId="0" fillId="0" borderId="1" xfId="0" applyBorder="1" applyAlignment="1">
      <alignment horizontal="center"/>
    </xf>
    <xf numFmtId="44" fontId="1" fillId="0" borderId="0" xfId="2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/>
    <xf numFmtId="10" fontId="3" fillId="0" borderId="7" xfId="1" applyNumberFormat="1" applyFont="1" applyBorder="1"/>
    <xf numFmtId="0" fontId="0" fillId="0" borderId="8" xfId="0" applyBorder="1"/>
    <xf numFmtId="0" fontId="2" fillId="0" borderId="4" xfId="0" applyFont="1" applyBorder="1"/>
    <xf numFmtId="44" fontId="0" fillId="0" borderId="5" xfId="2" applyFont="1" applyBorder="1"/>
    <xf numFmtId="0" fontId="0" fillId="0" borderId="9" xfId="0" applyBorder="1"/>
    <xf numFmtId="44" fontId="0" fillId="0" borderId="10" xfId="2" applyFont="1" applyBorder="1" applyAlignment="1">
      <alignment horizontal="center"/>
    </xf>
    <xf numFmtId="9" fontId="0" fillId="0" borderId="5" xfId="0" applyNumberFormat="1" applyBorder="1"/>
    <xf numFmtId="1" fontId="0" fillId="0" borderId="5" xfId="2" applyNumberFormat="1" applyFont="1" applyBorder="1"/>
    <xf numFmtId="2" fontId="0" fillId="0" borderId="5" xfId="0" applyNumberFormat="1" applyBorder="1"/>
    <xf numFmtId="44" fontId="0" fillId="0" borderId="0" xfId="0" applyNumberFormat="1"/>
    <xf numFmtId="164" fontId="0" fillId="0" borderId="0" xfId="0" applyNumberFormat="1"/>
    <xf numFmtId="164" fontId="0" fillId="0" borderId="5" xfId="0" applyNumberFormat="1" applyBorder="1"/>
    <xf numFmtId="2" fontId="3" fillId="0" borderId="11" xfId="0" applyNumberFormat="1" applyFont="1" applyBorder="1"/>
    <xf numFmtId="44" fontId="0" fillId="0" borderId="7" xfId="2" applyFont="1" applyBorder="1"/>
    <xf numFmtId="0" fontId="0" fillId="0" borderId="6" xfId="0" applyBorder="1"/>
    <xf numFmtId="0" fontId="2" fillId="0" borderId="12" xfId="0" applyFont="1" applyBorder="1"/>
    <xf numFmtId="0" fontId="0" fillId="0" borderId="13" xfId="0" applyBorder="1"/>
    <xf numFmtId="0" fontId="0" fillId="0" borderId="14" xfId="0" applyBorder="1"/>
    <xf numFmtId="10" fontId="3" fillId="0" borderId="11" xfId="1" applyNumberFormat="1" applyFont="1" applyBorder="1"/>
    <xf numFmtId="0" fontId="0" fillId="0" borderId="7" xfId="0" applyBorder="1"/>
    <xf numFmtId="0" fontId="2" fillId="2" borderId="12" xfId="0" applyFont="1" applyFill="1" applyBorder="1"/>
    <xf numFmtId="0" fontId="0" fillId="2" borderId="14" xfId="0" applyFill="1" applyBorder="1"/>
    <xf numFmtId="0" fontId="0" fillId="2" borderId="13" xfId="0" applyFill="1" applyBorder="1"/>
    <xf numFmtId="44" fontId="0" fillId="2" borderId="14" xfId="2" applyFont="1" applyFill="1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2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3" fillId="0" borderId="5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5" xfId="0" applyNumberFormat="1" applyFont="1" applyBorder="1" applyAlignment="1">
      <alignment horizontal="center"/>
    </xf>
    <xf numFmtId="3" fontId="0" fillId="0" borderId="3" xfId="0" applyNumberFormat="1" applyBorder="1"/>
    <xf numFmtId="4" fontId="0" fillId="0" borderId="5" xfId="0" applyNumberFormat="1" applyBorder="1"/>
    <xf numFmtId="0" fontId="3" fillId="0" borderId="4" xfId="0" applyFont="1" applyBorder="1"/>
    <xf numFmtId="4" fontId="3" fillId="0" borderId="6" xfId="0" applyNumberFormat="1" applyFont="1" applyBorder="1" applyAlignment="1">
      <alignment horizontal="left"/>
    </xf>
    <xf numFmtId="3" fontId="0" fillId="0" borderId="5" xfId="0" applyNumberFormat="1" applyBorder="1"/>
    <xf numFmtId="4" fontId="3" fillId="0" borderId="7" xfId="0" applyNumberFormat="1" applyFont="1" applyBorder="1"/>
    <xf numFmtId="0" fontId="3" fillId="0" borderId="3" xfId="0" applyFont="1" applyBorder="1"/>
    <xf numFmtId="4" fontId="0" fillId="0" borderId="0" xfId="0" applyNumberFormat="1"/>
    <xf numFmtId="4" fontId="3" fillId="0" borderId="5" xfId="0" applyNumberFormat="1" applyFont="1" applyBorder="1"/>
    <xf numFmtId="4" fontId="0" fillId="0" borderId="11" xfId="0" applyNumberFormat="1" applyBorder="1"/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</cellXfs>
  <cellStyles count="5">
    <cellStyle name="Currency" xfId="2" builtinId="4"/>
    <cellStyle name="Normal" xfId="0" builtinId="0"/>
    <cellStyle name="Normal 2" xfId="3" xr:uid="{4633AFE6-0318-437A-A239-445318A01724}"/>
    <cellStyle name="Percent" xfId="1" builtinId="5"/>
    <cellStyle name="Percent 5" xfId="4" xr:uid="{92A1770A-248A-40DE-BB84-DE14CB0DD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F98D-0B23-4E3B-ABC5-DE3D4CE4B917}">
  <dimension ref="B1:H52"/>
  <sheetViews>
    <sheetView zoomScale="140" zoomScaleNormal="140" workbookViewId="0">
      <selection activeCell="E29" sqref="E29:E30"/>
    </sheetView>
  </sheetViews>
  <sheetFormatPr defaultColWidth="8.81640625" defaultRowHeight="14.5" x14ac:dyDescent="0.35"/>
  <cols>
    <col min="2" max="2" width="15.453125" customWidth="1"/>
    <col min="3" max="4" width="9.81640625" bestFit="1" customWidth="1"/>
  </cols>
  <sheetData>
    <row r="1" spans="2:8" ht="15" thickBot="1" x14ac:dyDescent="0.4"/>
    <row r="2" spans="2:8" ht="15" thickBot="1" x14ac:dyDescent="0.4">
      <c r="B2" s="41" t="s">
        <v>37</v>
      </c>
      <c r="C2" s="42"/>
    </row>
    <row r="3" spans="2:8" x14ac:dyDescent="0.35">
      <c r="B3" s="18"/>
      <c r="C3" s="19"/>
    </row>
    <row r="4" spans="2:8" x14ac:dyDescent="0.35">
      <c r="B4" s="18" t="s">
        <v>39</v>
      </c>
      <c r="C4" s="19">
        <v>65</v>
      </c>
    </row>
    <row r="5" spans="2:8" x14ac:dyDescent="0.35">
      <c r="B5" s="18" t="s">
        <v>45</v>
      </c>
      <c r="C5" s="19">
        <v>10</v>
      </c>
      <c r="D5" s="13"/>
      <c r="G5" s="14"/>
      <c r="H5" s="12"/>
    </row>
    <row r="6" spans="2:8" ht="15" thickBot="1" x14ac:dyDescent="0.4">
      <c r="B6" s="20" t="s">
        <v>46</v>
      </c>
      <c r="C6" s="21">
        <f>2*((100/C4)^(1/(C5*2))-1)</f>
        <v>4.3545575344856147E-2</v>
      </c>
      <c r="D6" s="13"/>
      <c r="G6" s="14"/>
      <c r="H6" s="12"/>
    </row>
    <row r="7" spans="2:8" ht="15" thickBot="1" x14ac:dyDescent="0.4">
      <c r="D7" s="13"/>
      <c r="G7" s="14"/>
      <c r="H7" s="12"/>
    </row>
    <row r="8" spans="2:8" ht="15" thickBot="1" x14ac:dyDescent="0.4">
      <c r="B8" s="41" t="s">
        <v>41</v>
      </c>
      <c r="C8" s="43"/>
      <c r="D8" s="44"/>
      <c r="G8" s="14"/>
      <c r="H8" s="12"/>
    </row>
    <row r="9" spans="2:8" x14ac:dyDescent="0.35">
      <c r="B9" s="23"/>
      <c r="D9" s="24"/>
      <c r="G9" s="14"/>
      <c r="H9" s="12"/>
    </row>
    <row r="10" spans="2:8" x14ac:dyDescent="0.35">
      <c r="B10" s="25" t="s">
        <v>47</v>
      </c>
      <c r="C10" s="15" t="s">
        <v>48</v>
      </c>
      <c r="D10" s="26" t="s">
        <v>49</v>
      </c>
      <c r="H10" s="3"/>
    </row>
    <row r="11" spans="2:8" x14ac:dyDescent="0.35">
      <c r="B11" s="18" t="s">
        <v>2</v>
      </c>
      <c r="C11" s="3">
        <v>0.03</v>
      </c>
      <c r="D11" s="27">
        <v>0.03</v>
      </c>
    </row>
    <row r="12" spans="2:8" x14ac:dyDescent="0.35">
      <c r="B12" s="18" t="s">
        <v>50</v>
      </c>
      <c r="C12">
        <v>5</v>
      </c>
      <c r="D12" s="28">
        <v>20</v>
      </c>
      <c r="H12" s="4"/>
    </row>
    <row r="13" spans="2:8" x14ac:dyDescent="0.35">
      <c r="B13" s="18" t="s">
        <v>51</v>
      </c>
      <c r="C13" s="4">
        <f>C12/(1+C11/2)</f>
        <v>4.9261083743842367</v>
      </c>
      <c r="D13" s="29">
        <f>D12/(1+D11/2)</f>
        <v>19.704433497536947</v>
      </c>
    </row>
    <row r="14" spans="2:8" x14ac:dyDescent="0.35">
      <c r="B14" s="18" t="s">
        <v>52</v>
      </c>
      <c r="C14" s="30">
        <v>1000</v>
      </c>
      <c r="D14" s="24">
        <v>2500</v>
      </c>
      <c r="H14" s="4"/>
    </row>
    <row r="15" spans="2:8" x14ac:dyDescent="0.35">
      <c r="B15" s="18" t="s">
        <v>15</v>
      </c>
      <c r="C15" s="31">
        <f>C14/SUM($C$14:$D$14)</f>
        <v>0.2857142857142857</v>
      </c>
      <c r="D15" s="32">
        <f>D14/SUM($C$14:$D$14)</f>
        <v>0.7142857142857143</v>
      </c>
    </row>
    <row r="16" spans="2:8" x14ac:dyDescent="0.35">
      <c r="B16" s="18"/>
      <c r="D16" s="24"/>
      <c r="H16" s="4"/>
    </row>
    <row r="17" spans="2:8" ht="15" thickBot="1" x14ac:dyDescent="0.4">
      <c r="B17" s="20" t="s">
        <v>53</v>
      </c>
      <c r="C17" s="33">
        <f>C15*C13+D15*D13</f>
        <v>15.482054890921885</v>
      </c>
      <c r="D17" s="34"/>
      <c r="G17" s="14"/>
      <c r="H17" s="12"/>
    </row>
    <row r="18" spans="2:8" ht="15" thickBot="1" x14ac:dyDescent="0.4">
      <c r="D18" s="16"/>
      <c r="G18" s="14"/>
      <c r="H18" s="12"/>
    </row>
    <row r="19" spans="2:8" ht="15" thickBot="1" x14ac:dyDescent="0.4">
      <c r="B19" s="41" t="s">
        <v>42</v>
      </c>
      <c r="C19" s="43"/>
      <c r="D19" s="42"/>
    </row>
    <row r="20" spans="2:8" x14ac:dyDescent="0.35">
      <c r="B20" s="18"/>
      <c r="D20" s="19"/>
    </row>
    <row r="21" spans="2:8" x14ac:dyDescent="0.35">
      <c r="B21" s="18" t="s">
        <v>38</v>
      </c>
      <c r="C21">
        <f>95%*100+5%*70</f>
        <v>98.5</v>
      </c>
      <c r="D21" s="19"/>
    </row>
    <row r="22" spans="2:8" x14ac:dyDescent="0.35">
      <c r="B22" s="18" t="s">
        <v>39</v>
      </c>
      <c r="C22">
        <v>90</v>
      </c>
      <c r="D22" s="19"/>
    </row>
    <row r="23" spans="2:8" ht="15" thickBot="1" x14ac:dyDescent="0.4">
      <c r="B23" s="20" t="s">
        <v>40</v>
      </c>
      <c r="C23" s="39">
        <f>C21/C22-1</f>
        <v>9.4444444444444553E-2</v>
      </c>
      <c r="D23" s="40"/>
    </row>
    <row r="24" spans="2:8" ht="15" thickBot="1" x14ac:dyDescent="0.4"/>
    <row r="25" spans="2:8" ht="15" thickBot="1" x14ac:dyDescent="0.4">
      <c r="B25" s="41" t="s">
        <v>43</v>
      </c>
      <c r="C25" s="43"/>
      <c r="D25" s="42"/>
      <c r="E25" s="7"/>
    </row>
    <row r="26" spans="2:8" x14ac:dyDescent="0.35">
      <c r="B26" s="18"/>
      <c r="D26" s="19"/>
    </row>
    <row r="27" spans="2:8" x14ac:dyDescent="0.35">
      <c r="B27" s="18" t="s">
        <v>11</v>
      </c>
      <c r="C27" s="2">
        <f>3%+2%</f>
        <v>0.05</v>
      </c>
      <c r="D27" s="19"/>
      <c r="E27" s="3"/>
    </row>
    <row r="28" spans="2:8" x14ac:dyDescent="0.35">
      <c r="B28" s="18" t="s">
        <v>18</v>
      </c>
      <c r="C28">
        <v>0.5</v>
      </c>
      <c r="D28" s="19"/>
    </row>
    <row r="29" spans="2:8" ht="15" thickBot="1" x14ac:dyDescent="0.4">
      <c r="B29" s="20" t="s">
        <v>17</v>
      </c>
      <c r="C29" s="33">
        <f>C28/(1+C27/2)</f>
        <v>0.48780487804878053</v>
      </c>
      <c r="D29" s="40"/>
    </row>
    <row r="31" spans="2:8" x14ac:dyDescent="0.35">
      <c r="B31" s="1"/>
    </row>
    <row r="33" spans="2:3" x14ac:dyDescent="0.35">
      <c r="C33" s="3"/>
    </row>
    <row r="35" spans="2:3" x14ac:dyDescent="0.35">
      <c r="C35" s="3"/>
    </row>
    <row r="37" spans="2:3" x14ac:dyDescent="0.35">
      <c r="B37" s="9"/>
      <c r="C37" s="11"/>
    </row>
    <row r="38" spans="2:3" x14ac:dyDescent="0.35">
      <c r="B38" s="9"/>
      <c r="C38" s="11"/>
    </row>
    <row r="39" spans="2:3" x14ac:dyDescent="0.35">
      <c r="B39" s="1"/>
    </row>
    <row r="40" spans="2:3" x14ac:dyDescent="0.35">
      <c r="B40" s="1"/>
    </row>
    <row r="41" spans="2:3" x14ac:dyDescent="0.35">
      <c r="C41" s="3"/>
    </row>
    <row r="42" spans="2:3" x14ac:dyDescent="0.35">
      <c r="C42" s="6"/>
    </row>
    <row r="43" spans="2:3" x14ac:dyDescent="0.35">
      <c r="C43" s="3"/>
    </row>
    <row r="44" spans="2:3" x14ac:dyDescent="0.35">
      <c r="C44" s="3"/>
    </row>
    <row r="45" spans="2:3" x14ac:dyDescent="0.35">
      <c r="C45" s="3"/>
    </row>
    <row r="47" spans="2:3" x14ac:dyDescent="0.35">
      <c r="B47" s="10"/>
    </row>
    <row r="49" spans="2:3" x14ac:dyDescent="0.35">
      <c r="B49" s="8"/>
      <c r="C49" s="9"/>
    </row>
    <row r="52" spans="2:3" x14ac:dyDescent="0.35">
      <c r="C5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3EC8-CA3B-4418-A043-D55A869A51DC}">
  <dimension ref="B1:J84"/>
  <sheetViews>
    <sheetView tabSelected="1" topLeftCell="A41" zoomScale="125" workbookViewId="0">
      <selection activeCell="E51" sqref="E51"/>
    </sheetView>
  </sheetViews>
  <sheetFormatPr defaultColWidth="8.81640625" defaultRowHeight="14.5" x14ac:dyDescent="0.35"/>
  <cols>
    <col min="1" max="1" width="3.1796875" customWidth="1"/>
    <col min="2" max="2" width="19" customWidth="1"/>
    <col min="3" max="3" width="13.6328125" bestFit="1" customWidth="1"/>
    <col min="4" max="4" width="14.6328125" customWidth="1"/>
    <col min="6" max="6" width="12" customWidth="1"/>
    <col min="10" max="10" width="12.81640625" customWidth="1"/>
  </cols>
  <sheetData>
    <row r="1" spans="2:8" ht="15" thickBot="1" x14ac:dyDescent="0.4"/>
    <row r="2" spans="2:8" ht="21.5" thickBot="1" x14ac:dyDescent="0.55000000000000004">
      <c r="B2" s="82" t="s">
        <v>0</v>
      </c>
      <c r="C2" s="83"/>
      <c r="D2" s="83"/>
      <c r="E2" s="83"/>
      <c r="F2" s="83"/>
      <c r="G2" s="83"/>
      <c r="H2" s="84"/>
    </row>
    <row r="3" spans="2:8" ht="15" thickBot="1" x14ac:dyDescent="0.4"/>
    <row r="4" spans="2:8" ht="15" thickBot="1" x14ac:dyDescent="0.4">
      <c r="B4" s="45" t="s">
        <v>54</v>
      </c>
      <c r="C4" s="51">
        <v>0.03</v>
      </c>
    </row>
    <row r="5" spans="2:8" ht="15" thickBot="1" x14ac:dyDescent="0.4"/>
    <row r="6" spans="2:8" ht="15" thickBot="1" x14ac:dyDescent="0.4">
      <c r="B6" s="45" t="s">
        <v>1</v>
      </c>
      <c r="C6" s="46" t="s">
        <v>2</v>
      </c>
    </row>
    <row r="7" spans="2:8" x14ac:dyDescent="0.35">
      <c r="B7" s="47">
        <v>0.5</v>
      </c>
      <c r="C7" s="48">
        <v>2.5000000000000001E-2</v>
      </c>
    </row>
    <row r="8" spans="2:8" x14ac:dyDescent="0.35">
      <c r="B8" s="47">
        <v>1</v>
      </c>
      <c r="C8" s="48">
        <v>2.1999999999999999E-2</v>
      </c>
    </row>
    <row r="9" spans="2:8" x14ac:dyDescent="0.35">
      <c r="B9" s="47">
        <v>1.5</v>
      </c>
      <c r="C9" s="48">
        <v>1.7999999999999999E-2</v>
      </c>
    </row>
    <row r="10" spans="2:8" x14ac:dyDescent="0.35">
      <c r="B10" s="47">
        <v>2</v>
      </c>
      <c r="C10" s="48">
        <v>1.4999999999999999E-2</v>
      </c>
    </row>
    <row r="11" spans="2:8" x14ac:dyDescent="0.35">
      <c r="B11" s="47">
        <v>2.5</v>
      </c>
      <c r="C11" s="48">
        <v>1.2E-2</v>
      </c>
    </row>
    <row r="12" spans="2:8" ht="15" thickBot="1" x14ac:dyDescent="0.4">
      <c r="B12" s="49">
        <v>3</v>
      </c>
      <c r="C12" s="50">
        <v>0.01</v>
      </c>
    </row>
    <row r="13" spans="2:8" ht="15" thickBot="1" x14ac:dyDescent="0.4"/>
    <row r="14" spans="2:8" ht="15" thickBot="1" x14ac:dyDescent="0.4">
      <c r="B14" s="41" t="s">
        <v>3</v>
      </c>
      <c r="C14" s="43"/>
      <c r="D14" s="42"/>
    </row>
    <row r="15" spans="2:8" ht="15" thickBot="1" x14ac:dyDescent="0.4">
      <c r="B15" s="5"/>
      <c r="C15" s="5"/>
      <c r="D15" s="5"/>
    </row>
    <row r="16" spans="2:8" x14ac:dyDescent="0.35">
      <c r="B16" s="52" t="s">
        <v>4</v>
      </c>
      <c r="C16" s="53" t="s">
        <v>5</v>
      </c>
      <c r="D16" s="54" t="s">
        <v>6</v>
      </c>
    </row>
    <row r="17" spans="2:5" x14ac:dyDescent="0.35">
      <c r="B17" s="47">
        <v>0.5</v>
      </c>
      <c r="C17" s="55">
        <f>$C$4*100/2</f>
        <v>1.5</v>
      </c>
      <c r="D17" s="56">
        <f>C17/(1+C7/2)</f>
        <v>1.4814814814814816</v>
      </c>
    </row>
    <row r="18" spans="2:5" x14ac:dyDescent="0.35">
      <c r="B18" s="47">
        <v>1</v>
      </c>
      <c r="C18" s="55">
        <f t="shared" ref="C18:C19" si="0">$C$4*100/2</f>
        <v>1.5</v>
      </c>
      <c r="D18" s="56">
        <f>C18/(1+C8/2)^2</f>
        <v>1.4675366223764117</v>
      </c>
    </row>
    <row r="19" spans="2:5" x14ac:dyDescent="0.35">
      <c r="B19" s="47">
        <v>1.5</v>
      </c>
      <c r="C19" s="55">
        <f t="shared" si="0"/>
        <v>1.5</v>
      </c>
      <c r="D19" s="56">
        <f>C19/(1+C9/2)^3</f>
        <v>1.4602182107845221</v>
      </c>
    </row>
    <row r="20" spans="2:5" x14ac:dyDescent="0.35">
      <c r="B20" s="57">
        <v>2</v>
      </c>
      <c r="C20" s="15">
        <f>$C$4*100/2+100</f>
        <v>101.5</v>
      </c>
      <c r="D20" s="58">
        <f>C20/(1+C10/2)^4</f>
        <v>98.51124845069937</v>
      </c>
    </row>
    <row r="21" spans="2:5" ht="15" thickBot="1" x14ac:dyDescent="0.4">
      <c r="B21" s="49"/>
      <c r="C21" s="59" t="s">
        <v>7</v>
      </c>
      <c r="D21" s="60">
        <f>SUM(D17:D20)</f>
        <v>102.92048476534178</v>
      </c>
    </row>
    <row r="22" spans="2:5" ht="15" thickBot="1" x14ac:dyDescent="0.4"/>
    <row r="23" spans="2:5" ht="15" thickBot="1" x14ac:dyDescent="0.4">
      <c r="B23" s="41" t="s">
        <v>8</v>
      </c>
      <c r="C23" s="43"/>
      <c r="D23" s="42"/>
    </row>
    <row r="24" spans="2:5" ht="15" thickBot="1" x14ac:dyDescent="0.4"/>
    <row r="25" spans="2:5" x14ac:dyDescent="0.35">
      <c r="B25" s="61" t="s">
        <v>10</v>
      </c>
      <c r="C25" s="22"/>
      <c r="D25" s="65">
        <f>D21</f>
        <v>102.92048476534178</v>
      </c>
    </row>
    <row r="26" spans="2:5" x14ac:dyDescent="0.35">
      <c r="B26" s="18" t="s">
        <v>9</v>
      </c>
      <c r="D26" s="56">
        <f>D36</f>
        <v>102.92048192836234</v>
      </c>
    </row>
    <row r="27" spans="2:5" x14ac:dyDescent="0.35">
      <c r="B27" s="18" t="s">
        <v>12</v>
      </c>
      <c r="D27" s="56">
        <f>D25-D26</f>
        <v>2.8369794478066979E-6</v>
      </c>
      <c r="E27" t="s">
        <v>13</v>
      </c>
    </row>
    <row r="28" spans="2:5" x14ac:dyDescent="0.35">
      <c r="B28" s="18"/>
      <c r="D28" s="66"/>
    </row>
    <row r="29" spans="2:5" x14ac:dyDescent="0.35">
      <c r="B29" s="18"/>
      <c r="C29" s="68" t="s">
        <v>11</v>
      </c>
      <c r="D29" s="67">
        <v>1.5120555318508075E-2</v>
      </c>
    </row>
    <row r="30" spans="2:5" x14ac:dyDescent="0.35">
      <c r="B30" s="18"/>
      <c r="D30" s="19"/>
    </row>
    <row r="31" spans="2:5" x14ac:dyDescent="0.35">
      <c r="B31" s="57" t="s">
        <v>4</v>
      </c>
      <c r="C31" s="15" t="s">
        <v>5</v>
      </c>
      <c r="D31" s="62" t="s">
        <v>6</v>
      </c>
    </row>
    <row r="32" spans="2:5" x14ac:dyDescent="0.35">
      <c r="B32" s="47">
        <v>0.5</v>
      </c>
      <c r="C32" s="55">
        <f>$C$4*100/2</f>
        <v>1.5</v>
      </c>
      <c r="D32" s="56">
        <f>C32/(1+$D$29/2)</f>
        <v>1.488744676879058</v>
      </c>
    </row>
    <row r="33" spans="2:10" x14ac:dyDescent="0.35">
      <c r="B33" s="47">
        <v>1</v>
      </c>
      <c r="C33" s="55">
        <f t="shared" ref="C33:C34" si="1">$C$4*100/2</f>
        <v>1.5</v>
      </c>
      <c r="D33" s="56">
        <f>C33/(1+$D$29/2)^2</f>
        <v>1.4775738086238202</v>
      </c>
    </row>
    <row r="34" spans="2:10" x14ac:dyDescent="0.35">
      <c r="B34" s="47">
        <v>1.5</v>
      </c>
      <c r="C34" s="55">
        <f t="shared" si="1"/>
        <v>1.5</v>
      </c>
      <c r="D34" s="56">
        <f>C34/(1+$D$29/2)^3</f>
        <v>1.4664867615230852</v>
      </c>
    </row>
    <row r="35" spans="2:10" x14ac:dyDescent="0.35">
      <c r="B35" s="57">
        <v>2</v>
      </c>
      <c r="C35" s="15">
        <f>$C$4*100/2+100</f>
        <v>101.5</v>
      </c>
      <c r="D35" s="58">
        <f>C35/(1+$D$29/2)^4</f>
        <v>98.487676681336367</v>
      </c>
    </row>
    <row r="36" spans="2:10" ht="15" thickBot="1" x14ac:dyDescent="0.4">
      <c r="B36" s="49"/>
      <c r="C36" s="63" t="s">
        <v>7</v>
      </c>
      <c r="D36" s="64">
        <f>SUM(D32:D35)</f>
        <v>102.92048192836234</v>
      </c>
    </row>
    <row r="37" spans="2:10" ht="15" thickBot="1" x14ac:dyDescent="0.4"/>
    <row r="38" spans="2:10" ht="15" thickBot="1" x14ac:dyDescent="0.4">
      <c r="B38" s="41" t="s">
        <v>14</v>
      </c>
      <c r="C38" s="43"/>
      <c r="D38" s="43"/>
      <c r="E38" s="42"/>
    </row>
    <row r="39" spans="2:10" ht="15" thickBot="1" x14ac:dyDescent="0.4"/>
    <row r="40" spans="2:10" x14ac:dyDescent="0.35">
      <c r="B40" s="52" t="s">
        <v>4</v>
      </c>
      <c r="C40" s="53" t="s">
        <v>5</v>
      </c>
      <c r="D40" s="53" t="s">
        <v>6</v>
      </c>
      <c r="E40" s="53" t="s">
        <v>15</v>
      </c>
      <c r="F40" s="54" t="s">
        <v>16</v>
      </c>
    </row>
    <row r="41" spans="2:10" x14ac:dyDescent="0.35">
      <c r="B41" s="47">
        <v>0.5</v>
      </c>
      <c r="C41" s="55">
        <f>$C$4*100/2</f>
        <v>1.5</v>
      </c>
      <c r="D41" s="70">
        <f>C41/(1+$D$29/2)</f>
        <v>1.488744676879058</v>
      </c>
      <c r="E41" s="70">
        <f>D41/$D$45</f>
        <v>1.4464999084587427E-2</v>
      </c>
      <c r="F41" s="56">
        <f>E41*B41</f>
        <v>7.2324995422937133E-3</v>
      </c>
    </row>
    <row r="42" spans="2:10" x14ac:dyDescent="0.35">
      <c r="B42" s="47">
        <v>1</v>
      </c>
      <c r="C42" s="55">
        <f t="shared" ref="C42:C43" si="2">$C$4*100/2</f>
        <v>1.5</v>
      </c>
      <c r="D42" s="70">
        <f>C42/(1+$D$29/2)^2</f>
        <v>1.4775738086238202</v>
      </c>
      <c r="E42" s="70">
        <f t="shared" ref="E42:E44" si="3">D42/$D$45</f>
        <v>1.4356460258826649E-2</v>
      </c>
      <c r="F42" s="56">
        <f t="shared" ref="F42:F44" si="4">E42*B42</f>
        <v>1.4356460258826649E-2</v>
      </c>
    </row>
    <row r="43" spans="2:10" x14ac:dyDescent="0.35">
      <c r="B43" s="47">
        <v>1.5</v>
      </c>
      <c r="C43" s="55">
        <f t="shared" si="2"/>
        <v>1.5</v>
      </c>
      <c r="D43" s="70">
        <f>C43/(1+$D$29/2)^3</f>
        <v>1.4664867615230852</v>
      </c>
      <c r="E43" s="70">
        <f t="shared" si="3"/>
        <v>1.4248735859435941E-2</v>
      </c>
      <c r="F43" s="56">
        <f t="shared" si="4"/>
        <v>2.1373103789153913E-2</v>
      </c>
    </row>
    <row r="44" spans="2:10" x14ac:dyDescent="0.35">
      <c r="B44" s="57">
        <v>2</v>
      </c>
      <c r="C44" s="15">
        <f>$C$4*100/2+100</f>
        <v>101.5</v>
      </c>
      <c r="D44" s="69">
        <f>C44/(1+$D$29/2)^4</f>
        <v>98.487676681336367</v>
      </c>
      <c r="E44" s="69">
        <f t="shared" si="3"/>
        <v>0.95692980479714995</v>
      </c>
      <c r="F44" s="58">
        <f t="shared" si="4"/>
        <v>1.9138596095942999</v>
      </c>
    </row>
    <row r="45" spans="2:10" x14ac:dyDescent="0.35">
      <c r="B45" s="47"/>
      <c r="C45" s="55" t="s">
        <v>7</v>
      </c>
      <c r="D45" s="70">
        <f>SUM(D41:D44)</f>
        <v>102.92048192836234</v>
      </c>
      <c r="E45" s="68" t="s">
        <v>18</v>
      </c>
      <c r="F45" s="71">
        <f>SUM(F41:F44)</f>
        <v>1.9568216731845742</v>
      </c>
    </row>
    <row r="46" spans="2:10" ht="15" thickBot="1" x14ac:dyDescent="0.4">
      <c r="B46" s="49"/>
      <c r="C46" s="63"/>
      <c r="D46" s="63"/>
      <c r="E46" s="59" t="s">
        <v>17</v>
      </c>
      <c r="F46" s="60">
        <f>F45/(1+D29/2)</f>
        <v>1.942138566370071</v>
      </c>
    </row>
    <row r="47" spans="2:10" ht="15" thickBot="1" x14ac:dyDescent="0.4"/>
    <row r="48" spans="2:10" ht="15" thickBot="1" x14ac:dyDescent="0.4">
      <c r="B48" s="41" t="s">
        <v>19</v>
      </c>
      <c r="C48" s="43"/>
      <c r="D48" s="43"/>
      <c r="E48" s="43"/>
      <c r="F48" s="43"/>
      <c r="G48" s="43"/>
      <c r="H48" s="43"/>
      <c r="I48" s="43"/>
      <c r="J48" s="42"/>
    </row>
    <row r="49" spans="2:8" ht="15" thickBot="1" x14ac:dyDescent="0.4"/>
    <row r="50" spans="2:8" x14ac:dyDescent="0.35">
      <c r="B50" s="61" t="s">
        <v>20</v>
      </c>
      <c r="C50" s="72">
        <v>100000000</v>
      </c>
    </row>
    <row r="51" spans="2:8" x14ac:dyDescent="0.35">
      <c r="B51" s="18" t="s">
        <v>17</v>
      </c>
      <c r="C51" s="29">
        <f>F46</f>
        <v>1.942138566370071</v>
      </c>
    </row>
    <row r="52" spans="2:8" x14ac:dyDescent="0.35">
      <c r="B52" s="18" t="s">
        <v>21</v>
      </c>
      <c r="C52" s="27">
        <v>0.02</v>
      </c>
    </row>
    <row r="53" spans="2:8" x14ac:dyDescent="0.35">
      <c r="B53" s="18" t="s">
        <v>22</v>
      </c>
      <c r="C53" s="73">
        <f>-C51*C50*C52</f>
        <v>-3884277.1327401418</v>
      </c>
    </row>
    <row r="54" spans="2:8" x14ac:dyDescent="0.35">
      <c r="B54" s="18"/>
      <c r="C54" s="19"/>
    </row>
    <row r="55" spans="2:8" x14ac:dyDescent="0.35">
      <c r="B55" s="74" t="s">
        <v>23</v>
      </c>
      <c r="C55" s="19"/>
    </row>
    <row r="56" spans="2:8" ht="15" thickBot="1" x14ac:dyDescent="0.4">
      <c r="B56" s="75">
        <f>C50+C53</f>
        <v>96115722.86725986</v>
      </c>
      <c r="C56" s="40"/>
    </row>
    <row r="57" spans="2:8" ht="15" thickBot="1" x14ac:dyDescent="0.4"/>
    <row r="58" spans="2:8" ht="15" thickBot="1" x14ac:dyDescent="0.4">
      <c r="B58" s="41" t="s">
        <v>24</v>
      </c>
      <c r="C58" s="43"/>
      <c r="D58" s="43"/>
      <c r="E58" s="43"/>
      <c r="F58" s="43"/>
      <c r="G58" s="43"/>
      <c r="H58" s="42"/>
    </row>
    <row r="59" spans="2:8" ht="15" thickBot="1" x14ac:dyDescent="0.4"/>
    <row r="60" spans="2:8" x14ac:dyDescent="0.35">
      <c r="B60" s="61" t="s">
        <v>25</v>
      </c>
      <c r="C60" s="17">
        <v>3</v>
      </c>
    </row>
    <row r="61" spans="2:8" x14ac:dyDescent="0.35">
      <c r="B61" s="18" t="s">
        <v>26</v>
      </c>
      <c r="C61" s="29">
        <f>C60/(1+C12/2)</f>
        <v>2.9850746268656718</v>
      </c>
    </row>
    <row r="62" spans="2:8" x14ac:dyDescent="0.35">
      <c r="B62" s="18" t="s">
        <v>27</v>
      </c>
      <c r="C62" s="29">
        <f>F46</f>
        <v>1.942138566370071</v>
      </c>
    </row>
    <row r="63" spans="2:8" x14ac:dyDescent="0.35">
      <c r="B63" s="18" t="s">
        <v>29</v>
      </c>
      <c r="C63" s="76">
        <f>C50</f>
        <v>100000000</v>
      </c>
    </row>
    <row r="64" spans="2:8" x14ac:dyDescent="0.35">
      <c r="B64" s="18"/>
      <c r="C64" s="19"/>
    </row>
    <row r="65" spans="2:10" ht="15" thickBot="1" x14ac:dyDescent="0.4">
      <c r="B65" s="20" t="s">
        <v>28</v>
      </c>
      <c r="C65" s="77">
        <f>-C62/C61*C63</f>
        <v>-65061641.973397374</v>
      </c>
    </row>
    <row r="66" spans="2:10" ht="15" thickBot="1" x14ac:dyDescent="0.4"/>
    <row r="67" spans="2:10" ht="15" thickBot="1" x14ac:dyDescent="0.4">
      <c r="B67" s="41" t="s">
        <v>30</v>
      </c>
      <c r="C67" s="43"/>
      <c r="D67" s="43"/>
      <c r="E67" s="43"/>
      <c r="F67" s="43"/>
      <c r="G67" s="43"/>
      <c r="H67" s="43"/>
      <c r="I67" s="43"/>
      <c r="J67" s="42"/>
    </row>
    <row r="68" spans="2:10" ht="15" thickBot="1" x14ac:dyDescent="0.4"/>
    <row r="69" spans="2:10" x14ac:dyDescent="0.35">
      <c r="B69" s="61"/>
      <c r="C69" s="22" t="s">
        <v>33</v>
      </c>
      <c r="D69" s="78" t="s">
        <v>34</v>
      </c>
    </row>
    <row r="70" spans="2:10" x14ac:dyDescent="0.35">
      <c r="B70" s="18" t="s">
        <v>31</v>
      </c>
      <c r="C70" s="79">
        <f>C63</f>
        <v>100000000</v>
      </c>
      <c r="D70" s="80">
        <f>-C62*C70*0.02</f>
        <v>-3884277.1327401418</v>
      </c>
    </row>
    <row r="71" spans="2:10" x14ac:dyDescent="0.35">
      <c r="B71" s="18" t="s">
        <v>32</v>
      </c>
      <c r="C71" s="79">
        <f>C65</f>
        <v>-65061641.973397374</v>
      </c>
      <c r="D71" s="80">
        <f>-C61*C71*0.02</f>
        <v>3884277.1327401418</v>
      </c>
    </row>
    <row r="72" spans="2:10" ht="15" thickBot="1" x14ac:dyDescent="0.4">
      <c r="B72" s="35" t="s">
        <v>36</v>
      </c>
      <c r="C72" s="81">
        <f>SUM(C70:C71)</f>
        <v>34938358.026602626</v>
      </c>
      <c r="D72" s="77">
        <f>SUM(D70:D71)</f>
        <v>0</v>
      </c>
    </row>
    <row r="73" spans="2:10" ht="15" thickBot="1" x14ac:dyDescent="0.4"/>
    <row r="74" spans="2:10" ht="15" thickBot="1" x14ac:dyDescent="0.4">
      <c r="B74" s="36" t="s">
        <v>35</v>
      </c>
      <c r="C74" s="37"/>
      <c r="D74" s="38"/>
    </row>
    <row r="75" spans="2:10" ht="15" thickBot="1" x14ac:dyDescent="0.4"/>
    <row r="76" spans="2:10" x14ac:dyDescent="0.35">
      <c r="B76" s="61"/>
      <c r="C76" s="22" t="s">
        <v>33</v>
      </c>
      <c r="D76" s="78" t="s">
        <v>34</v>
      </c>
    </row>
    <row r="77" spans="2:10" x14ac:dyDescent="0.35">
      <c r="B77" s="18" t="s">
        <v>31</v>
      </c>
      <c r="C77" s="79">
        <f>C63</f>
        <v>100000000</v>
      </c>
      <c r="D77" s="80">
        <f>-C62*C77*-0.01</f>
        <v>1942138.5663700709</v>
      </c>
    </row>
    <row r="78" spans="2:10" x14ac:dyDescent="0.35">
      <c r="B78" s="18" t="s">
        <v>32</v>
      </c>
      <c r="C78" s="79">
        <f>C65</f>
        <v>-65061641.973397374</v>
      </c>
      <c r="D78" s="80">
        <f>-C61*C78*-0.01</f>
        <v>-1942138.5663700709</v>
      </c>
    </row>
    <row r="79" spans="2:10" ht="15" thickBot="1" x14ac:dyDescent="0.4">
      <c r="B79" s="35" t="s">
        <v>36</v>
      </c>
      <c r="C79" s="81">
        <f>SUM(C77:C78)</f>
        <v>34938358.026602626</v>
      </c>
      <c r="D79" s="77">
        <f>SUM(D77:D78)</f>
        <v>0</v>
      </c>
    </row>
    <row r="80" spans="2:10" ht="15" thickBot="1" x14ac:dyDescent="0.4"/>
    <row r="81" spans="2:10" ht="15" thickBot="1" x14ac:dyDescent="0.4">
      <c r="B81" s="41" t="s">
        <v>44</v>
      </c>
      <c r="C81" s="43"/>
      <c r="D81" s="43"/>
      <c r="E81" s="43"/>
      <c r="F81" s="43"/>
      <c r="G81" s="43"/>
      <c r="H81" s="43"/>
      <c r="I81" s="43"/>
      <c r="J81" s="42"/>
    </row>
    <row r="83" spans="2:10" x14ac:dyDescent="0.35">
      <c r="B83" t="s">
        <v>55</v>
      </c>
    </row>
    <row r="84" spans="2:10" x14ac:dyDescent="0.35">
      <c r="B84" t="s">
        <v>56</v>
      </c>
    </row>
  </sheetData>
  <mergeCells count="1">
    <mergeCell ref="B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Choice</vt:lpstr>
      <vt:lpstr>Short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Lines, Anton</dc:creator>
  <cp:lastModifiedBy>Alex Jacobs</cp:lastModifiedBy>
  <dcterms:created xsi:type="dcterms:W3CDTF">2020-03-08T15:32:39Z</dcterms:created>
  <dcterms:modified xsi:type="dcterms:W3CDTF">2026-03-09T15:20:35Z</dcterms:modified>
</cp:coreProperties>
</file>